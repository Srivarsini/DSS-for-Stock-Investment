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rivarsini\Desktop\George Mason\Fall 2016\SYST 542\Project\"/>
    </mc:Choice>
  </mc:AlternateContent>
  <bookViews>
    <workbookView xWindow="0" yWindow="0" windowWidth="19200" windowHeight="8856" firstSheet="1" activeTab="1"/>
  </bookViews>
  <sheets>
    <sheet name="StockData" sheetId="3" state="hidden" r:id="rId1"/>
    <sheet name="Analysis" sheetId="4" r:id="rId2"/>
    <sheet name="StockResults" sheetId="6" state="hidden" r:id="rId3"/>
    <sheet name="StockDetails" sheetId="10" state="hidden" r:id="rId4"/>
    <sheet name="Predicted Price" sheetId="11" state="hidden" r:id="rId5"/>
    <sheet name="Start" sheetId="12" r:id="rId6"/>
  </sheets>
  <definedNames>
    <definedName name="_xlnm._FilterDatabase" localSheetId="1" hidden="1">Analysis!$A$4:$P$4</definedName>
    <definedName name="_xlnm._FilterDatabase" localSheetId="4" hidden="1">'Predicted Price'!$A$5:$V$5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4" l="1"/>
  <c r="O6" i="4" l="1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 l="1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K19" i="10"/>
  <c r="P6" i="4" l="1"/>
  <c r="Q6" i="4" s="1"/>
  <c r="P9" i="4"/>
  <c r="Q9" i="4" s="1"/>
  <c r="P13" i="4"/>
  <c r="Q13" i="4" s="1"/>
  <c r="P17" i="4"/>
  <c r="Q17" i="4" s="1"/>
  <c r="P21" i="4"/>
  <c r="Q21" i="4" s="1"/>
  <c r="P25" i="4"/>
  <c r="Q25" i="4" s="1"/>
  <c r="P20" i="4"/>
  <c r="Q20" i="4" s="1"/>
  <c r="P18" i="4"/>
  <c r="Q18" i="4" s="1"/>
  <c r="P15" i="4"/>
  <c r="Q15" i="4" s="1"/>
  <c r="P12" i="4"/>
  <c r="Q12" i="4" s="1"/>
  <c r="P22" i="4"/>
  <c r="Q22" i="4" s="1"/>
  <c r="P19" i="4"/>
  <c r="Q19" i="4" s="1"/>
  <c r="P16" i="4"/>
  <c r="Q16" i="4" s="1"/>
  <c r="P10" i="4"/>
  <c r="Q10" i="4" s="1"/>
  <c r="P7" i="4"/>
  <c r="Q7" i="4" s="1"/>
  <c r="P23" i="4"/>
  <c r="Q23" i="4" s="1"/>
  <c r="P14" i="4"/>
  <c r="Q14" i="4" s="1"/>
  <c r="P11" i="4"/>
  <c r="Q11" i="4" s="1"/>
  <c r="P8" i="4"/>
  <c r="Q8" i="4" s="1"/>
  <c r="P24" i="4"/>
  <c r="Q24" i="4" s="1"/>
  <c r="K27" i="10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7" i="4"/>
  <c r="J8" i="4"/>
  <c r="J9" i="4"/>
  <c r="J10" i="4"/>
  <c r="J6" i="4"/>
  <c r="K14" i="10" l="1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K13" i="10"/>
  <c r="K25" i="10" l="1"/>
  <c r="K24" i="10"/>
  <c r="K23" i="10"/>
  <c r="K20" i="10"/>
  <c r="K26" i="10"/>
  <c r="K22" i="10"/>
  <c r="F7" i="4"/>
  <c r="F6" i="6" s="1"/>
  <c r="F8" i="4"/>
  <c r="F7" i="6" s="1"/>
  <c r="F9" i="4"/>
  <c r="F8" i="6" s="1"/>
  <c r="F10" i="4"/>
  <c r="F9" i="6" s="1"/>
  <c r="F11" i="4"/>
  <c r="F10" i="6" s="1"/>
  <c r="F12" i="4"/>
  <c r="F11" i="6" s="1"/>
  <c r="F13" i="4"/>
  <c r="F12" i="6" s="1"/>
  <c r="F14" i="4"/>
  <c r="F13" i="6" s="1"/>
  <c r="F15" i="4"/>
  <c r="F14" i="6" s="1"/>
  <c r="F16" i="4"/>
  <c r="F15" i="6" s="1"/>
  <c r="F17" i="4"/>
  <c r="F16" i="6" s="1"/>
  <c r="F18" i="4"/>
  <c r="F17" i="6" s="1"/>
  <c r="F19" i="4"/>
  <c r="F18" i="6" s="1"/>
  <c r="F20" i="4"/>
  <c r="F19" i="6" s="1"/>
  <c r="F21" i="4"/>
  <c r="F20" i="6" s="1"/>
  <c r="F22" i="4"/>
  <c r="F23" i="4"/>
  <c r="F24" i="4"/>
  <c r="F25" i="4"/>
  <c r="F6" i="4"/>
  <c r="F5" i="6" s="1"/>
  <c r="C5" i="6" l="1"/>
  <c r="C17" i="6"/>
  <c r="C13" i="6"/>
  <c r="C9" i="6"/>
  <c r="C20" i="6"/>
  <c r="C16" i="6"/>
  <c r="C12" i="6"/>
  <c r="C8" i="6"/>
  <c r="C19" i="6"/>
  <c r="C15" i="6"/>
  <c r="C11" i="6"/>
  <c r="C7" i="6"/>
  <c r="C18" i="6"/>
  <c r="C14" i="6"/>
  <c r="C10" i="6"/>
  <c r="C6" i="6"/>
  <c r="G19" i="6"/>
  <c r="G11" i="6"/>
  <c r="G7" i="6"/>
  <c r="G18" i="6"/>
  <c r="G14" i="6"/>
  <c r="G10" i="6"/>
  <c r="G6" i="6"/>
  <c r="G5" i="6"/>
  <c r="G17" i="6"/>
  <c r="G13" i="6"/>
  <c r="G9" i="6"/>
  <c r="G20" i="6"/>
  <c r="G16" i="6"/>
  <c r="G12" i="6"/>
  <c r="G8" i="6"/>
  <c r="B15" i="6"/>
  <c r="I15" i="6" s="1"/>
  <c r="D15" i="6"/>
  <c r="B7" i="6"/>
  <c r="I7" i="6" s="1"/>
  <c r="D7" i="6"/>
  <c r="G15" i="6"/>
  <c r="A15" i="6"/>
  <c r="E15" i="6"/>
  <c r="A7" i="6"/>
  <c r="A19" i="6"/>
  <c r="B19" i="6"/>
  <c r="I19" i="6" s="1"/>
  <c r="A11" i="6"/>
  <c r="B11" i="6"/>
  <c r="I11" i="6" s="1"/>
  <c r="D11" i="6"/>
  <c r="A18" i="6"/>
  <c r="A14" i="6"/>
  <c r="A10" i="6"/>
  <c r="A6" i="6"/>
  <c r="B18" i="6"/>
  <c r="I18" i="6" s="1"/>
  <c r="B14" i="6"/>
  <c r="I14" i="6" s="1"/>
  <c r="B10" i="6"/>
  <c r="I10" i="6" s="1"/>
  <c r="B6" i="6"/>
  <c r="I6" i="6" s="1"/>
  <c r="D18" i="6"/>
  <c r="D14" i="6"/>
  <c r="A5" i="6"/>
  <c r="A17" i="6"/>
  <c r="A13" i="6"/>
  <c r="A9" i="6"/>
  <c r="B5" i="6"/>
  <c r="I5" i="6" s="1"/>
  <c r="B17" i="6"/>
  <c r="I17" i="6" s="1"/>
  <c r="B13" i="6"/>
  <c r="I13" i="6" s="1"/>
  <c r="B9" i="6"/>
  <c r="I9" i="6" s="1"/>
  <c r="D5" i="6"/>
  <c r="D9" i="6"/>
  <c r="E5" i="6"/>
  <c r="A20" i="6"/>
  <c r="A16" i="6"/>
  <c r="A12" i="6"/>
  <c r="A8" i="6"/>
  <c r="B20" i="6"/>
  <c r="I20" i="6" s="1"/>
  <c r="B16" i="6"/>
  <c r="I16" i="6" s="1"/>
  <c r="B12" i="6"/>
  <c r="I12" i="6" s="1"/>
  <c r="B8" i="6"/>
  <c r="I8" i="6" s="1"/>
  <c r="D20" i="6"/>
  <c r="D16" i="6"/>
  <c r="D12" i="6"/>
  <c r="D8" i="6"/>
  <c r="E20" i="6"/>
  <c r="G8" i="4" l="1"/>
  <c r="I6" i="4" l="1"/>
  <c r="I7" i="4"/>
  <c r="E6" i="6" s="1"/>
  <c r="I8" i="4"/>
  <c r="E7" i="6" s="1"/>
  <c r="I9" i="4"/>
  <c r="E8" i="6" s="1"/>
  <c r="I10" i="4"/>
  <c r="E9" i="6" s="1"/>
  <c r="I11" i="4"/>
  <c r="E10" i="6" s="1"/>
  <c r="I12" i="4"/>
  <c r="E11" i="6" s="1"/>
  <c r="I13" i="4"/>
  <c r="E12" i="6" s="1"/>
  <c r="I14" i="4"/>
  <c r="E13" i="6" s="1"/>
  <c r="I15" i="4"/>
  <c r="E14" i="6" s="1"/>
  <c r="I16" i="4"/>
  <c r="I17" i="4"/>
  <c r="E16" i="6" s="1"/>
  <c r="I18" i="4"/>
  <c r="E17" i="6" s="1"/>
  <c r="I19" i="4"/>
  <c r="E18" i="6" s="1"/>
  <c r="I20" i="4"/>
  <c r="E19" i="6" s="1"/>
  <c r="I21" i="4"/>
  <c r="I22" i="4"/>
  <c r="I23" i="4"/>
  <c r="I24" i="4"/>
  <c r="I25" i="4"/>
  <c r="C32" i="4" l="1"/>
  <c r="M22" i="4" s="1"/>
  <c r="C31" i="4"/>
  <c r="M18" i="4" s="1"/>
  <c r="C30" i="4"/>
  <c r="M13" i="4" s="1"/>
  <c r="C29" i="4"/>
  <c r="M7" i="4" s="1"/>
  <c r="C26" i="4"/>
  <c r="M25" i="4" l="1"/>
  <c r="M24" i="4"/>
  <c r="M23" i="4"/>
  <c r="M21" i="4"/>
  <c r="M16" i="4"/>
  <c r="M20" i="4"/>
  <c r="M17" i="4"/>
  <c r="M19" i="4"/>
  <c r="M11" i="4"/>
  <c r="M12" i="4"/>
  <c r="M15" i="4"/>
  <c r="M14" i="4"/>
  <c r="M6" i="4"/>
  <c r="M10" i="4"/>
  <c r="M9" i="4"/>
  <c r="M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7" i="4"/>
  <c r="G6" i="4"/>
  <c r="B32" i="4"/>
  <c r="H22" i="4" s="1"/>
  <c r="B31" i="4"/>
  <c r="H20" i="4" s="1"/>
  <c r="D19" i="6" s="1"/>
  <c r="B30" i="4"/>
  <c r="H14" i="4" s="1"/>
  <c r="D13" i="6" s="1"/>
  <c r="B29" i="4"/>
  <c r="H7" i="4" s="1"/>
  <c r="D6" i="6" s="1"/>
  <c r="D260" i="3"/>
  <c r="E260" i="3"/>
  <c r="F260" i="3"/>
  <c r="G260" i="3"/>
  <c r="H260" i="3"/>
  <c r="I260" i="3"/>
  <c r="J260" i="3"/>
  <c r="K260" i="3"/>
  <c r="L260" i="3"/>
  <c r="M260" i="3"/>
  <c r="N260" i="3"/>
  <c r="O260" i="3"/>
  <c r="P260" i="3"/>
  <c r="Q260" i="3"/>
  <c r="R260" i="3"/>
  <c r="S260" i="3"/>
  <c r="T260" i="3"/>
  <c r="U260" i="3"/>
  <c r="V260" i="3"/>
  <c r="W260" i="3"/>
  <c r="X260" i="3"/>
  <c r="Y260" i="3"/>
  <c r="Z260" i="3"/>
  <c r="AA260" i="3"/>
  <c r="AB260" i="3"/>
  <c r="AC260" i="3"/>
  <c r="AD260" i="3"/>
  <c r="AE260" i="3"/>
  <c r="AF260" i="3"/>
  <c r="AG260" i="3"/>
  <c r="AH260" i="3"/>
  <c r="AI260" i="3"/>
  <c r="AJ260" i="3"/>
  <c r="AK260" i="3"/>
  <c r="AL260" i="3"/>
  <c r="AM260" i="3"/>
  <c r="AN260" i="3"/>
  <c r="AO260" i="3"/>
  <c r="AP260" i="3"/>
  <c r="AQ260" i="3"/>
  <c r="C260" i="3"/>
  <c r="E259" i="3"/>
  <c r="G259" i="3"/>
  <c r="I259" i="3"/>
  <c r="K259" i="3"/>
  <c r="M259" i="3"/>
  <c r="O259" i="3"/>
  <c r="Q259" i="3"/>
  <c r="S259" i="3"/>
  <c r="U259" i="3"/>
  <c r="W259" i="3"/>
  <c r="Y259" i="3"/>
  <c r="AA259" i="3"/>
  <c r="AC259" i="3"/>
  <c r="AE259" i="3"/>
  <c r="AG259" i="3"/>
  <c r="AI259" i="3"/>
  <c r="AK259" i="3"/>
  <c r="AM259" i="3"/>
  <c r="AO259" i="3"/>
  <c r="AQ259" i="3"/>
  <c r="C259" i="3"/>
  <c r="AO258" i="3"/>
  <c r="C258" i="3"/>
  <c r="E258" i="3"/>
  <c r="G258" i="3"/>
  <c r="I258" i="3"/>
  <c r="K258" i="3"/>
  <c r="M258" i="3"/>
  <c r="O258" i="3"/>
  <c r="Q258" i="3"/>
  <c r="S258" i="3"/>
  <c r="U258" i="3"/>
  <c r="W258" i="3"/>
  <c r="Y258" i="3"/>
  <c r="AA258" i="3"/>
  <c r="AC258" i="3"/>
  <c r="AE258" i="3"/>
  <c r="AG258" i="3"/>
  <c r="AI258" i="3"/>
  <c r="AK258" i="3"/>
  <c r="AM258" i="3"/>
  <c r="AQ258" i="3"/>
  <c r="C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28" i="3"/>
  <c r="AQ129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5" i="3"/>
  <c r="AQ166" i="3"/>
  <c r="AQ167" i="3"/>
  <c r="AQ168" i="3"/>
  <c r="AQ169" i="3"/>
  <c r="AQ170" i="3"/>
  <c r="AQ171" i="3"/>
  <c r="AQ172" i="3"/>
  <c r="AQ173" i="3"/>
  <c r="AQ174" i="3"/>
  <c r="AQ175" i="3"/>
  <c r="AQ176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51" i="3"/>
  <c r="AQ252" i="3"/>
  <c r="AQ253" i="3"/>
  <c r="AQ254" i="3"/>
  <c r="AQ255" i="3"/>
  <c r="AQ5" i="3"/>
  <c r="AO6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127" i="3"/>
  <c r="AO128" i="3"/>
  <c r="AO129" i="3"/>
  <c r="AO130" i="3"/>
  <c r="AO131" i="3"/>
  <c r="AO132" i="3"/>
  <c r="AO133" i="3"/>
  <c r="AO134" i="3"/>
  <c r="AO135" i="3"/>
  <c r="AO136" i="3"/>
  <c r="AO137" i="3"/>
  <c r="AO138" i="3"/>
  <c r="AO139" i="3"/>
  <c r="AO140" i="3"/>
  <c r="AO141" i="3"/>
  <c r="AO142" i="3"/>
  <c r="AO143" i="3"/>
  <c r="AO144" i="3"/>
  <c r="AO145" i="3"/>
  <c r="AO146" i="3"/>
  <c r="AO147" i="3"/>
  <c r="AO148" i="3"/>
  <c r="AO149" i="3"/>
  <c r="AO150" i="3"/>
  <c r="AO151" i="3"/>
  <c r="AO152" i="3"/>
  <c r="AO153" i="3"/>
  <c r="AO154" i="3"/>
  <c r="AO155" i="3"/>
  <c r="AO156" i="3"/>
  <c r="AO157" i="3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AO172" i="3"/>
  <c r="AO173" i="3"/>
  <c r="AO174" i="3"/>
  <c r="AO175" i="3"/>
  <c r="AO176" i="3"/>
  <c r="AO177" i="3"/>
  <c r="AO178" i="3"/>
  <c r="AO179" i="3"/>
  <c r="AO180" i="3"/>
  <c r="AO181" i="3"/>
  <c r="AO182" i="3"/>
  <c r="AO183" i="3"/>
  <c r="AO184" i="3"/>
  <c r="AO185" i="3"/>
  <c r="AO186" i="3"/>
  <c r="AO187" i="3"/>
  <c r="AO188" i="3"/>
  <c r="AO189" i="3"/>
  <c r="AO190" i="3"/>
  <c r="AO191" i="3"/>
  <c r="AO192" i="3"/>
  <c r="AO193" i="3"/>
  <c r="AO194" i="3"/>
  <c r="AO195" i="3"/>
  <c r="AO196" i="3"/>
  <c r="AO197" i="3"/>
  <c r="AO198" i="3"/>
  <c r="AO199" i="3"/>
  <c r="AO200" i="3"/>
  <c r="AO201" i="3"/>
  <c r="AO202" i="3"/>
  <c r="AO203" i="3"/>
  <c r="AO204" i="3"/>
  <c r="AO205" i="3"/>
  <c r="AO206" i="3"/>
  <c r="AO207" i="3"/>
  <c r="AO208" i="3"/>
  <c r="AO209" i="3"/>
  <c r="AO210" i="3"/>
  <c r="AO211" i="3"/>
  <c r="AO212" i="3"/>
  <c r="AO213" i="3"/>
  <c r="AO214" i="3"/>
  <c r="AO215" i="3"/>
  <c r="AO216" i="3"/>
  <c r="AO217" i="3"/>
  <c r="AO218" i="3"/>
  <c r="AO219" i="3"/>
  <c r="AO220" i="3"/>
  <c r="AO221" i="3"/>
  <c r="AO222" i="3"/>
  <c r="AO223" i="3"/>
  <c r="AO224" i="3"/>
  <c r="AO225" i="3"/>
  <c r="AO226" i="3"/>
  <c r="AO227" i="3"/>
  <c r="AO228" i="3"/>
  <c r="AO229" i="3"/>
  <c r="AO230" i="3"/>
  <c r="AO231" i="3"/>
  <c r="AO232" i="3"/>
  <c r="AO233" i="3"/>
  <c r="AO234" i="3"/>
  <c r="AO235" i="3"/>
  <c r="AO236" i="3"/>
  <c r="AO237" i="3"/>
  <c r="AO238" i="3"/>
  <c r="AO239" i="3"/>
  <c r="AO240" i="3"/>
  <c r="AO241" i="3"/>
  <c r="AO242" i="3"/>
  <c r="AO243" i="3"/>
  <c r="AO244" i="3"/>
  <c r="AO245" i="3"/>
  <c r="AO246" i="3"/>
  <c r="AO247" i="3"/>
  <c r="AO248" i="3"/>
  <c r="AO249" i="3"/>
  <c r="AO250" i="3"/>
  <c r="AO251" i="3"/>
  <c r="AO252" i="3"/>
  <c r="AO253" i="3"/>
  <c r="AO254" i="3"/>
  <c r="AO255" i="3"/>
  <c r="AO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127" i="3"/>
  <c r="AM128" i="3"/>
  <c r="AM129" i="3"/>
  <c r="AM130" i="3"/>
  <c r="AM131" i="3"/>
  <c r="AM132" i="3"/>
  <c r="AM133" i="3"/>
  <c r="AM134" i="3"/>
  <c r="AM135" i="3"/>
  <c r="AM136" i="3"/>
  <c r="AM137" i="3"/>
  <c r="AM138" i="3"/>
  <c r="AM139" i="3"/>
  <c r="AM140" i="3"/>
  <c r="AM141" i="3"/>
  <c r="AM142" i="3"/>
  <c r="AM143" i="3"/>
  <c r="AM144" i="3"/>
  <c r="AM145" i="3"/>
  <c r="AM146" i="3"/>
  <c r="AM147" i="3"/>
  <c r="AM148" i="3"/>
  <c r="AM149" i="3"/>
  <c r="AM150" i="3"/>
  <c r="AM151" i="3"/>
  <c r="AM152" i="3"/>
  <c r="AM153" i="3"/>
  <c r="AM154" i="3"/>
  <c r="AM155" i="3"/>
  <c r="AM156" i="3"/>
  <c r="AM157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172" i="3"/>
  <c r="AM173" i="3"/>
  <c r="AM174" i="3"/>
  <c r="AM175" i="3"/>
  <c r="AM176" i="3"/>
  <c r="AM177" i="3"/>
  <c r="AM178" i="3"/>
  <c r="AM179" i="3"/>
  <c r="AM180" i="3"/>
  <c r="AM181" i="3"/>
  <c r="AM182" i="3"/>
  <c r="AM183" i="3"/>
  <c r="AM184" i="3"/>
  <c r="AM185" i="3"/>
  <c r="AM186" i="3"/>
  <c r="AM187" i="3"/>
  <c r="AM188" i="3"/>
  <c r="AM189" i="3"/>
  <c r="AM190" i="3"/>
  <c r="AM191" i="3"/>
  <c r="AM192" i="3"/>
  <c r="AM193" i="3"/>
  <c r="AM194" i="3"/>
  <c r="AM195" i="3"/>
  <c r="AM196" i="3"/>
  <c r="AM197" i="3"/>
  <c r="AM198" i="3"/>
  <c r="AM199" i="3"/>
  <c r="AM200" i="3"/>
  <c r="AM201" i="3"/>
  <c r="AM202" i="3"/>
  <c r="AM203" i="3"/>
  <c r="AM204" i="3"/>
  <c r="AM205" i="3"/>
  <c r="AM206" i="3"/>
  <c r="AM207" i="3"/>
  <c r="AM208" i="3"/>
  <c r="AM209" i="3"/>
  <c r="AM210" i="3"/>
  <c r="AM211" i="3"/>
  <c r="AM212" i="3"/>
  <c r="AM213" i="3"/>
  <c r="AM214" i="3"/>
  <c r="AM215" i="3"/>
  <c r="AM216" i="3"/>
  <c r="AM217" i="3"/>
  <c r="AM218" i="3"/>
  <c r="AM219" i="3"/>
  <c r="AM220" i="3"/>
  <c r="AM221" i="3"/>
  <c r="AM222" i="3"/>
  <c r="AM223" i="3"/>
  <c r="AM224" i="3"/>
  <c r="AM225" i="3"/>
  <c r="AM226" i="3"/>
  <c r="AM227" i="3"/>
  <c r="AM228" i="3"/>
  <c r="AM229" i="3"/>
  <c r="AM230" i="3"/>
  <c r="AM231" i="3"/>
  <c r="AM232" i="3"/>
  <c r="AM233" i="3"/>
  <c r="AM234" i="3"/>
  <c r="AM235" i="3"/>
  <c r="AM236" i="3"/>
  <c r="AM237" i="3"/>
  <c r="AM238" i="3"/>
  <c r="AM239" i="3"/>
  <c r="AM240" i="3"/>
  <c r="AM241" i="3"/>
  <c r="AM242" i="3"/>
  <c r="AM243" i="3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H23" i="4" l="1"/>
  <c r="H9" i="4"/>
  <c r="H8" i="4"/>
  <c r="H18" i="4"/>
  <c r="D17" i="6" s="1"/>
  <c r="H10" i="4"/>
  <c r="H24" i="4"/>
  <c r="H12" i="4"/>
  <c r="H16" i="4"/>
  <c r="H6" i="4"/>
  <c r="H13" i="4"/>
  <c r="H19" i="4"/>
  <c r="H25" i="4"/>
  <c r="H11" i="4"/>
  <c r="D10" i="6" s="1"/>
  <c r="H15" i="4"/>
  <c r="H17" i="4"/>
  <c r="H21" i="4"/>
  <c r="K16" i="4"/>
  <c r="L16" i="4" s="1"/>
  <c r="K17" i="4" l="1"/>
  <c r="L17" i="4" s="1"/>
  <c r="K20" i="4"/>
  <c r="L20" i="4" s="1"/>
  <c r="K21" i="4"/>
  <c r="L21" i="4" s="1"/>
  <c r="K25" i="4"/>
  <c r="L25" i="4" s="1"/>
  <c r="K24" i="4"/>
  <c r="L24" i="4" s="1"/>
  <c r="K9" i="4"/>
  <c r="L9" i="4" s="1"/>
  <c r="K13" i="4"/>
  <c r="L13" i="4" s="1"/>
  <c r="K11" i="4"/>
  <c r="L11" i="4" s="1"/>
  <c r="K10" i="4"/>
  <c r="L10" i="4" s="1"/>
  <c r="K14" i="4"/>
  <c r="L14" i="4" s="1"/>
  <c r="K26" i="4"/>
  <c r="L26" i="4" s="1"/>
  <c r="K8" i="4"/>
  <c r="L8" i="4" s="1"/>
  <c r="K15" i="4"/>
  <c r="L15" i="4" s="1"/>
  <c r="K18" i="4"/>
  <c r="L18" i="4" s="1"/>
  <c r="K7" i="4"/>
  <c r="L7" i="4" s="1"/>
  <c r="K6" i="4"/>
  <c r="K22" i="4"/>
  <c r="L22" i="4" s="1"/>
  <c r="K23" i="4"/>
  <c r="L23" i="4" s="1"/>
  <c r="K19" i="4"/>
  <c r="L19" i="4" s="1"/>
  <c r="K12" i="4"/>
  <c r="L12" i="4" s="1"/>
  <c r="B3" i="6" l="1"/>
  <c r="C3" i="6" s="1"/>
</calcChain>
</file>

<file path=xl/sharedStrings.xml><?xml version="1.0" encoding="utf-8"?>
<sst xmlns="http://schemas.openxmlformats.org/spreadsheetml/2006/main" count="321" uniqueCount="75">
  <si>
    <t>Date</t>
  </si>
  <si>
    <t>Stock Data Analysis</t>
  </si>
  <si>
    <t>DJI</t>
  </si>
  <si>
    <t>Adj Close</t>
  </si>
  <si>
    <t>AAPL</t>
  </si>
  <si>
    <t>ADBE</t>
  </si>
  <si>
    <t>MSFT</t>
  </si>
  <si>
    <t>ORCL</t>
  </si>
  <si>
    <t>SAP</t>
  </si>
  <si>
    <t>Technology</t>
  </si>
  <si>
    <t>BAC</t>
  </si>
  <si>
    <t>Citi</t>
  </si>
  <si>
    <t>ICICI</t>
  </si>
  <si>
    <t>JPMorgan</t>
  </si>
  <si>
    <t>WFC</t>
  </si>
  <si>
    <t>Consumer Services</t>
  </si>
  <si>
    <t>Costco</t>
  </si>
  <si>
    <t>HD</t>
  </si>
  <si>
    <t>JCP</t>
  </si>
  <si>
    <t>TGT</t>
  </si>
  <si>
    <t>WMT</t>
  </si>
  <si>
    <t>Energy</t>
  </si>
  <si>
    <t>Bristow</t>
  </si>
  <si>
    <t>Exxon</t>
  </si>
  <si>
    <t>PBR</t>
  </si>
  <si>
    <t>Triangle</t>
  </si>
  <si>
    <t>Whiting</t>
  </si>
  <si>
    <t>Financials</t>
  </si>
  <si>
    <t>Returns</t>
  </si>
  <si>
    <t>Expected Annual Return</t>
  </si>
  <si>
    <t>Variance</t>
  </si>
  <si>
    <t>Standard Deviation</t>
  </si>
  <si>
    <t>Industry</t>
  </si>
  <si>
    <t>Organizations</t>
  </si>
  <si>
    <t>Finance</t>
  </si>
  <si>
    <t>Market Performance</t>
  </si>
  <si>
    <t>Sector Performance</t>
  </si>
  <si>
    <t>Consumer Products</t>
  </si>
  <si>
    <t>Minimum percentage of return</t>
  </si>
  <si>
    <t>-</t>
  </si>
  <si>
    <t>Overall Rank</t>
  </si>
  <si>
    <t>Sector Rank</t>
  </si>
  <si>
    <t>Expected Return</t>
  </si>
  <si>
    <t>Sector</t>
  </si>
  <si>
    <t>Maximum Return</t>
  </si>
  <si>
    <t>Risk</t>
  </si>
  <si>
    <t>User Result</t>
  </si>
  <si>
    <t>Organization</t>
  </si>
  <si>
    <t>YES</t>
  </si>
  <si>
    <t>Stock Results</t>
  </si>
  <si>
    <t>Stock Details</t>
  </si>
  <si>
    <t>PE Ratio</t>
  </si>
  <si>
    <t xml:space="preserve">CPS </t>
  </si>
  <si>
    <t>EPS</t>
  </si>
  <si>
    <t>52 Week High</t>
  </si>
  <si>
    <t>52 Week Low</t>
  </si>
  <si>
    <t>Interpretation</t>
  </si>
  <si>
    <t>CPS</t>
  </si>
  <si>
    <t xml:space="preserve">Predicted Stock Price For December 2016 ( used Neuro Xl predictor ) </t>
  </si>
  <si>
    <t>Earnings Per Share is a measure of earnings that a share yields. Positive and larger the better.</t>
  </si>
  <si>
    <t>Trading near this value is considered to be a safe investment</t>
  </si>
  <si>
    <t>Trading below this value is not a valued investment.</t>
  </si>
  <si>
    <t>Financial Measures</t>
  </si>
  <si>
    <t>Value</t>
  </si>
  <si>
    <t>Selected Organization</t>
  </si>
  <si>
    <t>Best Suitable Stock</t>
  </si>
  <si>
    <t>Number</t>
  </si>
  <si>
    <t>Price Per Earnings Ratio tells whether the stock is over valued or undervalued. 10-17 range is considered as a fairvalue</t>
  </si>
  <si>
    <t>Cash Flow per Share. Measure of operation effectivenes of an organization. Should be higher than EPS.</t>
  </si>
  <si>
    <t>ROR</t>
  </si>
  <si>
    <t>NOR</t>
  </si>
  <si>
    <t>RSR</t>
  </si>
  <si>
    <t>Final Ranking</t>
  </si>
  <si>
    <t>Normalized value</t>
  </si>
  <si>
    <t>Final Ranking User Viewable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</si>
</sst>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&quot;$&quot;#,##0.000;[Red]&quot;$&quot;#,##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9" fontId="2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/>
    <xf numFmtId="0" fontId="0" fillId="0" borderId="0" xfId="0"/>
    <xf numFmtId="0" fontId="0" fillId="0" borderId="10" xfId="0" applyBorder="1"/>
    <xf numFmtId="14" fontId="0" fillId="0" borderId="10" xfId="0" applyNumberFormat="1" applyBorder="1"/>
    <xf numFmtId="0" fontId="1" fillId="0" borderId="10" xfId="0" applyFont="1" applyBorder="1"/>
    <xf numFmtId="0" fontId="1" fillId="0" borderId="0" xfId="0" applyFont="1" applyAlignment="1">
      <alignment horizontal="center"/>
    </xf>
    <xf numFmtId="10" fontId="0" fillId="0" borderId="10" xfId="42" applyNumberFormat="1" applyFont="1" applyBorder="1"/>
    <xf numFmtId="0" fontId="1" fillId="0" borderId="10" xfId="0" applyFont="1" applyFill="1" applyBorder="1"/>
    <xf numFmtId="9" fontId="0" fillId="0" borderId="0" xfId="42" applyFont="1"/>
    <xf numFmtId="9" fontId="0" fillId="0" borderId="0" xfId="0" applyNumberFormat="1"/>
    <xf numFmtId="10" fontId="0" fillId="0" borderId="0" xfId="42" applyNumberFormat="1" applyFont="1"/>
    <xf numFmtId="0" fontId="0" fillId="0" borderId="0" xfId="0"/>
    <xf numFmtId="0" fontId="1" fillId="0" borderId="10" xfId="0" applyFont="1" applyBorder="1"/>
    <xf numFmtId="0" fontId="1" fillId="0" borderId="0" xfId="0" applyFont="1" applyBorder="1" applyAlignment="1"/>
    <xf numFmtId="0" fontId="0" fillId="0" borderId="0" xfId="0" applyBorder="1"/>
    <xf numFmtId="0" fontId="1" fillId="0" borderId="0" xfId="0" applyFont="1" applyFill="1" applyBorder="1"/>
    <xf numFmtId="10" fontId="1" fillId="0" borderId="10" xfId="42" applyNumberFormat="1" applyFont="1" applyBorder="1"/>
    <xf numFmtId="10" fontId="0" fillId="0" borderId="0" xfId="42" applyNumberFormat="1" applyFont="1" applyBorder="1"/>
    <xf numFmtId="10" fontId="0" fillId="0" borderId="0" xfId="42" applyNumberFormat="1" applyFont="1" applyAlignment="1">
      <alignment wrapText="1"/>
    </xf>
    <xf numFmtId="164" fontId="0" fillId="0" borderId="0" xfId="0" applyNumberFormat="1"/>
    <xf numFmtId="165" fontId="0" fillId="0" borderId="0" xfId="0" applyNumberFormat="1"/>
    <xf numFmtId="0" fontId="0" fillId="33" borderId="10" xfId="0" applyFont="1" applyFill="1" applyBorder="1" applyAlignment="1"/>
    <xf numFmtId="10" fontId="0" fillId="33" borderId="10" xfId="42" applyNumberFormat="1" applyFont="1" applyFill="1" applyBorder="1"/>
    <xf numFmtId="0" fontId="1" fillId="33" borderId="10" xfId="0" applyFont="1" applyFill="1" applyBorder="1"/>
    <xf numFmtId="0" fontId="1" fillId="34" borderId="10" xfId="0" applyFont="1" applyFill="1" applyBorder="1"/>
    <xf numFmtId="0" fontId="0" fillId="34" borderId="10" xfId="0" applyFont="1" applyFill="1" applyBorder="1" applyAlignment="1"/>
    <xf numFmtId="10" fontId="0" fillId="34" borderId="10" xfId="42" applyNumberFormat="1" applyFont="1" applyFill="1" applyBorder="1"/>
    <xf numFmtId="0" fontId="1" fillId="35" borderId="10" xfId="0" applyFont="1" applyFill="1" applyBorder="1"/>
    <xf numFmtId="0" fontId="0" fillId="35" borderId="10" xfId="0" applyFont="1" applyFill="1" applyBorder="1" applyAlignment="1"/>
    <xf numFmtId="10" fontId="0" fillId="35" borderId="10" xfId="42" applyNumberFormat="1" applyFont="1" applyFill="1" applyBorder="1"/>
    <xf numFmtId="0" fontId="1" fillId="36" borderId="10" xfId="0" applyFont="1" applyFill="1" applyBorder="1"/>
    <xf numFmtId="0" fontId="0" fillId="36" borderId="10" xfId="0" applyFont="1" applyFill="1" applyBorder="1" applyAlignment="1"/>
    <xf numFmtId="10" fontId="0" fillId="36" borderId="10" xfId="42" applyNumberFormat="1" applyFont="1" applyFill="1" applyBorder="1"/>
    <xf numFmtId="10" fontId="1" fillId="0" borderId="10" xfId="42" applyNumberFormat="1" applyFont="1" applyBorder="1" applyAlignment="1">
      <alignment wrapText="1"/>
    </xf>
    <xf numFmtId="10" fontId="0" fillId="33" borderId="10" xfId="42" applyNumberFormat="1" applyFont="1" applyFill="1" applyBorder="1" applyAlignment="1">
      <alignment wrapText="1"/>
    </xf>
    <xf numFmtId="0" fontId="0" fillId="33" borderId="10" xfId="0" applyFill="1" applyBorder="1"/>
    <xf numFmtId="165" fontId="0" fillId="33" borderId="10" xfId="0" applyNumberFormat="1" applyFill="1" applyBorder="1"/>
    <xf numFmtId="0" fontId="0" fillId="34" borderId="10" xfId="0" applyFill="1" applyBorder="1"/>
    <xf numFmtId="165" fontId="0" fillId="34" borderId="10" xfId="0" applyNumberFormat="1" applyFill="1" applyBorder="1"/>
    <xf numFmtId="0" fontId="0" fillId="35" borderId="10" xfId="0" applyFill="1" applyBorder="1"/>
    <xf numFmtId="165" fontId="0" fillId="35" borderId="10" xfId="0" applyNumberFormat="1" applyFill="1" applyBorder="1"/>
    <xf numFmtId="0" fontId="0" fillId="36" borderId="10" xfId="0" applyFill="1" applyBorder="1"/>
    <xf numFmtId="165" fontId="0" fillId="36" borderId="10" xfId="0" applyNumberFormat="1" applyFill="1" applyBorder="1"/>
    <xf numFmtId="1" fontId="0" fillId="33" borderId="10" xfId="0" applyNumberFormat="1" applyFill="1" applyBorder="1"/>
    <xf numFmtId="1" fontId="0" fillId="34" borderId="10" xfId="0" applyNumberFormat="1" applyFill="1" applyBorder="1"/>
    <xf numFmtId="1" fontId="0" fillId="35" borderId="10" xfId="0" applyNumberFormat="1" applyFill="1" applyBorder="1"/>
    <xf numFmtId="1" fontId="0" fillId="36" borderId="10" xfId="0" applyNumberFormat="1" applyFill="1" applyBorder="1"/>
    <xf numFmtId="0" fontId="1" fillId="0" borderId="10" xfId="0" applyFont="1" applyBorder="1" applyAlignment="1"/>
    <xf numFmtId="0" fontId="0" fillId="0" borderId="10" xfId="0" applyFont="1" applyFill="1" applyBorder="1"/>
    <xf numFmtId="10" fontId="1" fillId="0" borderId="10" xfId="42" applyNumberFormat="1" applyFont="1" applyBorder="1" applyAlignment="1"/>
    <xf numFmtId="1" fontId="18" fillId="37" borderId="12" xfId="42" applyNumberFormat="1" applyFont="1" applyFill="1" applyBorder="1"/>
    <xf numFmtId="0" fontId="1" fillId="0" borderId="0" xfId="0" applyFont="1"/>
    <xf numFmtId="10" fontId="0" fillId="0" borderId="0" xfId="0" applyNumberFormat="1"/>
    <xf numFmtId="10" fontId="0" fillId="0" borderId="10" xfId="0" applyNumberFormat="1" applyBorder="1"/>
    <xf numFmtId="2" fontId="0" fillId="0" borderId="0" xfId="0" applyNumberFormat="1"/>
    <xf numFmtId="2" fontId="1" fillId="0" borderId="10" xfId="0" applyNumberFormat="1" applyFont="1" applyFill="1" applyBorder="1"/>
    <xf numFmtId="2" fontId="0" fillId="0" borderId="10" xfId="0" applyNumberFormat="1" applyBorder="1"/>
    <xf numFmtId="0" fontId="1" fillId="0" borderId="0" xfId="0" applyFont="1" applyBorder="1"/>
    <xf numFmtId="10" fontId="1" fillId="0" borderId="0" xfId="42" applyNumberFormat="1" applyFont="1" applyBorder="1"/>
    <xf numFmtId="2" fontId="1" fillId="0" borderId="0" xfId="0" applyNumberFormat="1" applyFont="1" applyFill="1" applyBorder="1"/>
    <xf numFmtId="10" fontId="0" fillId="0" borderId="0" xfId="0" applyNumberFormat="1" applyBorder="1"/>
    <xf numFmtId="2" fontId="0" fillId="0" borderId="0" xfId="0" applyNumberFormat="1" applyBorder="1"/>
    <xf numFmtId="166" fontId="0" fillId="0" borderId="10" xfId="0" applyNumberFormat="1" applyBorder="1"/>
    <xf numFmtId="166" fontId="0" fillId="0" borderId="10" xfId="0" applyNumberFormat="1" applyFill="1" applyBorder="1" applyAlignment="1">
      <alignment horizontal="center"/>
    </xf>
    <xf numFmtId="49" fontId="0" fillId="0" borderId="10" xfId="0" applyNumberFormat="1" applyBorder="1"/>
    <xf numFmtId="14" fontId="0" fillId="0" borderId="0" xfId="0" applyNumberFormat="1"/>
    <xf numFmtId="14" fontId="0" fillId="0" borderId="0" xfId="0" applyNumberFormat="1" applyBorder="1"/>
    <xf numFmtId="2" fontId="0" fillId="33" borderId="10" xfId="0" applyNumberFormat="1" applyFill="1" applyBorder="1"/>
    <xf numFmtId="2" fontId="0" fillId="34" borderId="10" xfId="0" applyNumberFormat="1" applyFill="1" applyBorder="1"/>
    <xf numFmtId="2" fontId="0" fillId="35" borderId="10" xfId="0" applyNumberFormat="1" applyFill="1" applyBorder="1"/>
    <xf numFmtId="2" fontId="0" fillId="36" borderId="10" xfId="0" applyNumberFormat="1" applyFill="1" applyBorder="1"/>
    <xf numFmtId="0" fontId="0" fillId="0" borderId="0" xfId="0" applyFill="1"/>
    <xf numFmtId="0" fontId="0" fillId="36" borderId="14" xfId="0" applyFont="1" applyFill="1" applyBorder="1" applyAlignment="1"/>
    <xf numFmtId="0" fontId="1" fillId="0" borderId="14" xfId="0" applyFont="1" applyFill="1" applyBorder="1"/>
    <xf numFmtId="0" fontId="0" fillId="33" borderId="14" xfId="0" applyFill="1" applyBorder="1"/>
    <xf numFmtId="0" fontId="0" fillId="34" borderId="14" xfId="0" applyFill="1" applyBorder="1"/>
    <xf numFmtId="0" fontId="0" fillId="38" borderId="0" xfId="0" applyFill="1"/>
    <xf numFmtId="2" fontId="1" fillId="0" borderId="10" xfId="0" applyNumberFormat="1" applyFont="1" applyBorder="1"/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8" fillId="37" borderId="11" xfId="0" applyFont="1" applyFill="1" applyBorder="1" applyAlignment="1">
      <alignment horizontal="center"/>
    </xf>
    <xf numFmtId="0" fontId="18" fillId="37" borderId="13" xfId="0" applyFont="1" applyFill="1" applyBorder="1" applyAlignment="1">
      <alignment horizontal="center"/>
    </xf>
    <xf numFmtId="0" fontId="0" fillId="0" borderId="10" xfId="0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33" borderId="10" xfId="0" applyFont="1" applyFill="1" applyBorder="1" applyAlignment="1">
      <alignment horizontal="center"/>
    </xf>
    <xf numFmtId="0" fontId="1" fillId="34" borderId="10" xfId="0" applyFont="1" applyFill="1" applyBorder="1" applyAlignment="1">
      <alignment horizontal="center"/>
    </xf>
    <xf numFmtId="0" fontId="1" fillId="35" borderId="10" xfId="0" applyFont="1" applyFill="1" applyBorder="1" applyAlignment="1">
      <alignment horizontal="center"/>
    </xf>
    <xf numFmtId="0" fontId="1" fillId="36" borderId="10" xfId="0" applyFont="1" applyFill="1" applyBorder="1" applyAlignment="1">
      <alignment horizontal="center"/>
    </xf>
    <xf numFmtId="0" fontId="1" fillId="0" borderId="0" xfId="0" applyFont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Price'!$B$5</c:f>
              <c:strCache>
                <c:ptCount val="1"/>
                <c:pt idx="0">
                  <c:v>AAPL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Price'!$B$6:$B$32</c:f>
              <c:numCache>
                <c:formatCode>"$"#,##0.000;[Red]"$"#,##0.000</c:formatCode>
                <c:ptCount val="27"/>
                <c:pt idx="0">
                  <c:v>57.034523</c:v>
                </c:pt>
                <c:pt idx="1">
                  <c:v>57.600991999999998</c:v>
                </c:pt>
                <c:pt idx="2">
                  <c:v>57.700375000000001</c:v>
                </c:pt>
                <c:pt idx="3">
                  <c:v>57.839506999999998</c:v>
                </c:pt>
                <c:pt idx="4">
                  <c:v>57.660620999999999</c:v>
                </c:pt>
                <c:pt idx="5">
                  <c:v>57.938885999999997</c:v>
                </c:pt>
                <c:pt idx="6">
                  <c:v>57.581114999999997</c:v>
                </c:pt>
                <c:pt idx="7">
                  <c:v>57.76</c:v>
                </c:pt>
                <c:pt idx="8">
                  <c:v>57.439999</c:v>
                </c:pt>
                <c:pt idx="9">
                  <c:v>57.560001</c:v>
                </c:pt>
                <c:pt idx="10">
                  <c:v>57.599997999999999</c:v>
                </c:pt>
                <c:pt idx="11">
                  <c:v>57.619999</c:v>
                </c:pt>
                <c:pt idx="12">
                  <c:v>57.669998</c:v>
                </c:pt>
                <c:pt idx="13">
                  <c:v>57.889999000000003</c:v>
                </c:pt>
                <c:pt idx="14">
                  <c:v>57.950001</c:v>
                </c:pt>
                <c:pt idx="15">
                  <c:v>58.169998</c:v>
                </c:pt>
                <c:pt idx="16">
                  <c:v>58.029998999999997</c:v>
                </c:pt>
                <c:pt idx="17">
                  <c:v>58.099997999999999</c:v>
                </c:pt>
                <c:pt idx="18">
                  <c:v>57.889999000000003</c:v>
                </c:pt>
                <c:pt idx="19">
                  <c:v>57.459999000000003</c:v>
                </c:pt>
                <c:pt idx="20">
                  <c:v>57.59</c:v>
                </c:pt>
                <c:pt idx="21">
                  <c:v>57.669998</c:v>
                </c:pt>
                <c:pt idx="22">
                  <c:v>57.610000999999997</c:v>
                </c:pt>
                <c:pt idx="23">
                  <c:v>57.66</c:v>
                </c:pt>
                <c:pt idx="24">
                  <c:v>57.43</c:v>
                </c:pt>
                <c:pt idx="25">
                  <c:v>56.209999000000003</c:v>
                </c:pt>
                <c:pt idx="26">
                  <c:v>57.68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C-453A-A74C-F954AF5AF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079928"/>
        <c:axId val="514080256"/>
      </c:lineChart>
      <c:dateAx>
        <c:axId val="514079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80256"/>
        <c:crosses val="autoZero"/>
        <c:auto val="1"/>
        <c:lblOffset val="100"/>
        <c:baseTimeUnit val="days"/>
      </c:dateAx>
      <c:valAx>
        <c:axId val="51408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7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Price'!$C$5</c:f>
              <c:strCache>
                <c:ptCount val="1"/>
                <c:pt idx="0">
                  <c:v>ADBE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Price'!$C$6:$C$32</c:f>
              <c:numCache>
                <c:formatCode>"$"#,##0.000;[Red]"$"#,##0.000</c:formatCode>
                <c:ptCount val="27"/>
                <c:pt idx="0">
                  <c:v>102.606339267972</c:v>
                </c:pt>
                <c:pt idx="1">
                  <c:v>102.05999799999999</c:v>
                </c:pt>
                <c:pt idx="2">
                  <c:v>102.300003</c:v>
                </c:pt>
                <c:pt idx="3">
                  <c:v>102</c:v>
                </c:pt>
                <c:pt idx="4">
                  <c:v>102.30999799999999</c:v>
                </c:pt>
                <c:pt idx="5">
                  <c:v>102.900002</c:v>
                </c:pt>
                <c:pt idx="6">
                  <c:v>103.57</c:v>
                </c:pt>
                <c:pt idx="7">
                  <c:v>103.5</c:v>
                </c:pt>
                <c:pt idx="8">
                  <c:v>103</c:v>
                </c:pt>
                <c:pt idx="9">
                  <c:v>101.879997</c:v>
                </c:pt>
                <c:pt idx="10">
                  <c:v>99.379997000000003</c:v>
                </c:pt>
                <c:pt idx="11">
                  <c:v>100.32</c:v>
                </c:pt>
                <c:pt idx="12">
                  <c:v>98.769997000000004</c:v>
                </c:pt>
                <c:pt idx="13">
                  <c:v>98.790001000000004</c:v>
                </c:pt>
                <c:pt idx="14">
                  <c:v>99.620002999999997</c:v>
                </c:pt>
                <c:pt idx="15">
                  <c:v>98.93</c:v>
                </c:pt>
                <c:pt idx="16">
                  <c:v>99.68</c:v>
                </c:pt>
                <c:pt idx="17">
                  <c:v>100.620003</c:v>
                </c:pt>
                <c:pt idx="18">
                  <c:v>107.779999</c:v>
                </c:pt>
                <c:pt idx="19">
                  <c:v>107.91999800000001</c:v>
                </c:pt>
                <c:pt idx="20">
                  <c:v>107.470001</c:v>
                </c:pt>
                <c:pt idx="21">
                  <c:v>107.260002</c:v>
                </c:pt>
                <c:pt idx="22">
                  <c:v>109.699997</c:v>
                </c:pt>
                <c:pt idx="23">
                  <c:v>109.489998</c:v>
                </c:pt>
                <c:pt idx="24">
                  <c:v>107.800003</c:v>
                </c:pt>
                <c:pt idx="25">
                  <c:v>108.540001</c:v>
                </c:pt>
                <c:pt idx="26">
                  <c:v>108.449997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AE-4EE0-8E9B-6EFF7D74E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22032"/>
        <c:axId val="495522688"/>
      </c:lineChart>
      <c:dateAx>
        <c:axId val="495522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22688"/>
        <c:crosses val="autoZero"/>
        <c:auto val="1"/>
        <c:lblOffset val="100"/>
        <c:baseTimeUnit val="days"/>
      </c:dateAx>
      <c:valAx>
        <c:axId val="4955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2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03652668416449"/>
          <c:y val="0.16708333333333336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Price'!$D$5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Price'!$D$6:$D$32</c:f>
              <c:numCache>
                <c:formatCode>"$"#,##0.000;[Red]"$"#,##0.000</c:formatCode>
                <c:ptCount val="27"/>
                <c:pt idx="0">
                  <c:v>58.217108889561594</c:v>
                </c:pt>
                <c:pt idx="1">
                  <c:v>57.034523</c:v>
                </c:pt>
                <c:pt idx="2">
                  <c:v>57.600991999999998</c:v>
                </c:pt>
                <c:pt idx="3">
                  <c:v>57.700375000000001</c:v>
                </c:pt>
                <c:pt idx="4">
                  <c:v>57.839506999999998</c:v>
                </c:pt>
                <c:pt idx="5">
                  <c:v>57.660620999999999</c:v>
                </c:pt>
                <c:pt idx="6">
                  <c:v>57.938885999999997</c:v>
                </c:pt>
                <c:pt idx="7">
                  <c:v>57.581114999999997</c:v>
                </c:pt>
                <c:pt idx="8">
                  <c:v>57.76</c:v>
                </c:pt>
                <c:pt idx="9">
                  <c:v>57.439999</c:v>
                </c:pt>
                <c:pt idx="10">
                  <c:v>57.560001</c:v>
                </c:pt>
                <c:pt idx="11">
                  <c:v>57.599997999999999</c:v>
                </c:pt>
                <c:pt idx="12">
                  <c:v>57.619999</c:v>
                </c:pt>
                <c:pt idx="13">
                  <c:v>57.669998</c:v>
                </c:pt>
                <c:pt idx="14">
                  <c:v>57.889999000000003</c:v>
                </c:pt>
                <c:pt idx="15">
                  <c:v>57.950001</c:v>
                </c:pt>
                <c:pt idx="16">
                  <c:v>58.169998</c:v>
                </c:pt>
                <c:pt idx="17">
                  <c:v>58.029998999999997</c:v>
                </c:pt>
                <c:pt idx="18">
                  <c:v>58.099997999999999</c:v>
                </c:pt>
                <c:pt idx="19">
                  <c:v>57.889999000000003</c:v>
                </c:pt>
                <c:pt idx="20">
                  <c:v>57.459999000000003</c:v>
                </c:pt>
                <c:pt idx="21">
                  <c:v>57.59</c:v>
                </c:pt>
                <c:pt idx="22">
                  <c:v>57.669998</c:v>
                </c:pt>
                <c:pt idx="23">
                  <c:v>57.610000999999997</c:v>
                </c:pt>
                <c:pt idx="24">
                  <c:v>57.66</c:v>
                </c:pt>
                <c:pt idx="25">
                  <c:v>57.43</c:v>
                </c:pt>
                <c:pt idx="26">
                  <c:v>56.209999000000003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494-8171-75DD91B6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701160"/>
        <c:axId val="708702144"/>
      </c:lineChart>
      <c:dateAx>
        <c:axId val="708701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2144"/>
        <c:crosses val="autoZero"/>
        <c:auto val="1"/>
        <c:lblOffset val="100"/>
        <c:baseTimeUnit val="days"/>
      </c:dateAx>
      <c:valAx>
        <c:axId val="70870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03652668416449"/>
          <c:y val="0.1115277777777778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Price'!$E$5</c:f>
              <c:strCache>
                <c:ptCount val="1"/>
                <c:pt idx="0">
                  <c:v>ORCL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Price'!$E$6:$E$32</c:f>
              <c:numCache>
                <c:formatCode>"$"#,##0.000;[Red]"$"#,##0.000</c:formatCode>
                <c:ptCount val="27"/>
                <c:pt idx="0">
                  <c:v>37.497539163943465</c:v>
                </c:pt>
                <c:pt idx="1">
                  <c:v>37.722892000000002</c:v>
                </c:pt>
                <c:pt idx="2">
                  <c:v>37.930540000000001</c:v>
                </c:pt>
                <c:pt idx="3">
                  <c:v>37.465800000000002</c:v>
                </c:pt>
                <c:pt idx="4">
                  <c:v>37.465800000000002</c:v>
                </c:pt>
                <c:pt idx="5">
                  <c:v>37.337254999999999</c:v>
                </c:pt>
                <c:pt idx="6">
                  <c:v>37.564683000000002</c:v>
                </c:pt>
                <c:pt idx="7">
                  <c:v>36.368226999999997</c:v>
                </c:pt>
                <c:pt idx="8">
                  <c:v>36.546211999999997</c:v>
                </c:pt>
                <c:pt idx="9">
                  <c:v>36.872518999999997</c:v>
                </c:pt>
                <c:pt idx="10">
                  <c:v>36.219907999999997</c:v>
                </c:pt>
                <c:pt idx="11">
                  <c:v>36.140802000000001</c:v>
                </c:pt>
                <c:pt idx="12">
                  <c:v>36.694533999999997</c:v>
                </c:pt>
                <c:pt idx="13">
                  <c:v>36.368226999999997</c:v>
                </c:pt>
                <c:pt idx="14">
                  <c:v>36.219907999999997</c:v>
                </c:pt>
                <c:pt idx="15">
                  <c:v>36.219907999999997</c:v>
                </c:pt>
                <c:pt idx="16">
                  <c:v>35.300319999999999</c:v>
                </c:pt>
                <c:pt idx="17">
                  <c:v>35.142111</c:v>
                </c:pt>
                <c:pt idx="18">
                  <c:v>34.449947999999999</c:v>
                </c:pt>
                <c:pt idx="19">
                  <c:v>34.805917999999998</c:v>
                </c:pt>
                <c:pt idx="20">
                  <c:v>34.687261999999997</c:v>
                </c:pt>
                <c:pt idx="21">
                  <c:v>35.211326999999997</c:v>
                </c:pt>
                <c:pt idx="22">
                  <c:v>35.300319999999999</c:v>
                </c:pt>
                <c:pt idx="23">
                  <c:v>36.041922999999997</c:v>
                </c:pt>
                <c:pt idx="24">
                  <c:v>35.290430000000001</c:v>
                </c:pt>
                <c:pt idx="25">
                  <c:v>34.954236000000002</c:v>
                </c:pt>
                <c:pt idx="26">
                  <c:v>35.913378000000002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B-491F-ADBC-D45C704F9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969824"/>
        <c:axId val="540972776"/>
      </c:lineChart>
      <c:dateAx>
        <c:axId val="54096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972776"/>
        <c:crosses val="autoZero"/>
        <c:auto val="1"/>
        <c:lblOffset val="100"/>
        <c:baseTimeUnit val="days"/>
      </c:dateAx>
      <c:valAx>
        <c:axId val="54097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96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66426071741033"/>
          <c:y val="0.19486111111111112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Price'!$F$5</c:f>
              <c:strCache>
                <c:ptCount val="1"/>
                <c:pt idx="0">
                  <c:v>SAP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Price'!$F$6:$F$32</c:f>
              <c:numCache>
                <c:formatCode>"$"#,##0.000;[Red]"$"#,##0.000</c:formatCode>
                <c:ptCount val="27"/>
                <c:pt idx="0">
                  <c:v>81.533399341942385</c:v>
                </c:pt>
                <c:pt idx="1">
                  <c:v>81.209998999999996</c:v>
                </c:pt>
                <c:pt idx="2">
                  <c:v>81</c:v>
                </c:pt>
                <c:pt idx="3">
                  <c:v>81.069999999999993</c:v>
                </c:pt>
                <c:pt idx="4">
                  <c:v>81.209998999999996</c:v>
                </c:pt>
                <c:pt idx="5">
                  <c:v>80.919998000000007</c:v>
                </c:pt>
                <c:pt idx="6">
                  <c:v>81.169998000000007</c:v>
                </c:pt>
                <c:pt idx="7">
                  <c:v>81.330001999999993</c:v>
                </c:pt>
                <c:pt idx="8">
                  <c:v>81.900002000000001</c:v>
                </c:pt>
                <c:pt idx="9">
                  <c:v>81.519997000000004</c:v>
                </c:pt>
                <c:pt idx="10">
                  <c:v>80.739998</c:v>
                </c:pt>
                <c:pt idx="11">
                  <c:v>78.440002000000007</c:v>
                </c:pt>
                <c:pt idx="12">
                  <c:v>76.790001000000004</c:v>
                </c:pt>
                <c:pt idx="13">
                  <c:v>76.110000999999997</c:v>
                </c:pt>
                <c:pt idx="14">
                  <c:v>75.830001999999993</c:v>
                </c:pt>
                <c:pt idx="15">
                  <c:v>76.199996999999996</c:v>
                </c:pt>
                <c:pt idx="16">
                  <c:v>76.900002000000001</c:v>
                </c:pt>
                <c:pt idx="17">
                  <c:v>78.089995999999999</c:v>
                </c:pt>
                <c:pt idx="18">
                  <c:v>79.419998000000007</c:v>
                </c:pt>
                <c:pt idx="19">
                  <c:v>78.830001999999993</c:v>
                </c:pt>
                <c:pt idx="20">
                  <c:v>81.069999999999993</c:v>
                </c:pt>
                <c:pt idx="21">
                  <c:v>73.940002000000007</c:v>
                </c:pt>
                <c:pt idx="22">
                  <c:v>72.019997000000004</c:v>
                </c:pt>
                <c:pt idx="23">
                  <c:v>73.849997999999999</c:v>
                </c:pt>
                <c:pt idx="24">
                  <c:v>75.099997999999999</c:v>
                </c:pt>
                <c:pt idx="25">
                  <c:v>75.019997000000004</c:v>
                </c:pt>
                <c:pt idx="26">
                  <c:v>74.970000999999996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A-4CA4-AAE4-BA5351810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568376"/>
        <c:axId val="804564112"/>
      </c:lineChart>
      <c:dateAx>
        <c:axId val="804568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64112"/>
        <c:crosses val="autoZero"/>
        <c:auto val="1"/>
        <c:lblOffset val="100"/>
        <c:baseTimeUnit val="days"/>
      </c:dateAx>
      <c:valAx>
        <c:axId val="80456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6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Price'!$G$5</c:f>
              <c:strCache>
                <c:ptCount val="1"/>
                <c:pt idx="0">
                  <c:v>BAC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Price'!$G$6:$G$32</c:f>
              <c:numCache>
                <c:formatCode>"$"#,##0.000;[Red]"$"#,##0.000</c:formatCode>
                <c:ptCount val="27"/>
                <c:pt idx="0">
                  <c:v>19.710453704685378</c:v>
                </c:pt>
                <c:pt idx="1">
                  <c:v>16.129999000000002</c:v>
                </c:pt>
                <c:pt idx="2">
                  <c:v>16.299999</c:v>
                </c:pt>
                <c:pt idx="3">
                  <c:v>16.110001</c:v>
                </c:pt>
                <c:pt idx="4">
                  <c:v>16.030000999999999</c:v>
                </c:pt>
                <c:pt idx="5">
                  <c:v>15.83</c:v>
                </c:pt>
                <c:pt idx="6">
                  <c:v>16</c:v>
                </c:pt>
                <c:pt idx="7">
                  <c:v>16.049999</c:v>
                </c:pt>
                <c:pt idx="8">
                  <c:v>16.260000000000002</c:v>
                </c:pt>
                <c:pt idx="9">
                  <c:v>16.469999000000001</c:v>
                </c:pt>
                <c:pt idx="10">
                  <c:v>16.559999000000001</c:v>
                </c:pt>
                <c:pt idx="11">
                  <c:v>16.670000000000002</c:v>
                </c:pt>
                <c:pt idx="12">
                  <c:v>16.77</c:v>
                </c:pt>
                <c:pt idx="13">
                  <c:v>16.719999000000001</c:v>
                </c:pt>
                <c:pt idx="14">
                  <c:v>16.870000999999998</c:v>
                </c:pt>
                <c:pt idx="15">
                  <c:v>16.91</c:v>
                </c:pt>
                <c:pt idx="16">
                  <c:v>16.68</c:v>
                </c:pt>
                <c:pt idx="17">
                  <c:v>16.5</c:v>
                </c:pt>
                <c:pt idx="18">
                  <c:v>16.610001</c:v>
                </c:pt>
                <c:pt idx="19">
                  <c:v>16.48</c:v>
                </c:pt>
                <c:pt idx="20">
                  <c:v>16.48</c:v>
                </c:pt>
                <c:pt idx="21">
                  <c:v>16.549999</c:v>
                </c:pt>
                <c:pt idx="22">
                  <c:v>17.010000000000002</c:v>
                </c:pt>
                <c:pt idx="23">
                  <c:v>17</c:v>
                </c:pt>
                <c:pt idx="24">
                  <c:v>17.969999000000001</c:v>
                </c:pt>
                <c:pt idx="25">
                  <c:v>18.760000000000002</c:v>
                </c:pt>
                <c:pt idx="26">
                  <c:v>19.02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8F-4656-8FD9-53147304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584120"/>
        <c:axId val="804574608"/>
      </c:lineChart>
      <c:dateAx>
        <c:axId val="804584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74608"/>
        <c:crosses val="autoZero"/>
        <c:auto val="1"/>
        <c:lblOffset val="100"/>
        <c:baseTimeUnit val="days"/>
      </c:dateAx>
      <c:valAx>
        <c:axId val="80457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8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66426071741033"/>
          <c:y val="0.18560185185185185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Price'!$H$5</c:f>
              <c:strCache>
                <c:ptCount val="1"/>
                <c:pt idx="0">
                  <c:v>Citi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Price'!$H$6:$H$32</c:f>
              <c:numCache>
                <c:formatCode>"$"#,##0.000;[Red]"$"#,##0.000</c:formatCode>
                <c:ptCount val="27"/>
                <c:pt idx="0">
                  <c:v>54.497385401327065</c:v>
                </c:pt>
                <c:pt idx="1">
                  <c:v>51.315139000000002</c:v>
                </c:pt>
                <c:pt idx="2">
                  <c:v>52.355511</c:v>
                </c:pt>
                <c:pt idx="3">
                  <c:v>51.533119999999997</c:v>
                </c:pt>
                <c:pt idx="4">
                  <c:v>52.226702000000003</c:v>
                </c:pt>
                <c:pt idx="5">
                  <c:v>52.494227000000002</c:v>
                </c:pt>
                <c:pt idx="6">
                  <c:v>51.899729999999998</c:v>
                </c:pt>
                <c:pt idx="7">
                  <c:v>52.147438000000001</c:v>
                </c:pt>
                <c:pt idx="8">
                  <c:v>50.740454999999997</c:v>
                </c:pt>
                <c:pt idx="9">
                  <c:v>53.405793000000003</c:v>
                </c:pt>
                <c:pt idx="10">
                  <c:v>52.325786999999998</c:v>
                </c:pt>
                <c:pt idx="11">
                  <c:v>53.901209000000001</c:v>
                </c:pt>
                <c:pt idx="12">
                  <c:v>53.643591000000001</c:v>
                </c:pt>
                <c:pt idx="13">
                  <c:v>53.019365999999998</c:v>
                </c:pt>
                <c:pt idx="14">
                  <c:v>54.376806999999999</c:v>
                </c:pt>
                <c:pt idx="15">
                  <c:v>53.594050000000003</c:v>
                </c:pt>
                <c:pt idx="16">
                  <c:v>54.584881000000003</c:v>
                </c:pt>
                <c:pt idx="17">
                  <c:v>50.641373999999999</c:v>
                </c:pt>
                <c:pt idx="18">
                  <c:v>52.900466999999999</c:v>
                </c:pt>
                <c:pt idx="19">
                  <c:v>50.631462999999997</c:v>
                </c:pt>
                <c:pt idx="20">
                  <c:v>52.038445000000003</c:v>
                </c:pt>
                <c:pt idx="21">
                  <c:v>52.167254999999997</c:v>
                </c:pt>
                <c:pt idx="22">
                  <c:v>53.584142999999997</c:v>
                </c:pt>
                <c:pt idx="23">
                  <c:v>53.712949000000002</c:v>
                </c:pt>
                <c:pt idx="24">
                  <c:v>53.683225</c:v>
                </c:pt>
                <c:pt idx="25">
                  <c:v>53.782305999999998</c:v>
                </c:pt>
                <c:pt idx="26">
                  <c:v>54.247998000000003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E-45A4-A752-6AD7111FF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673936"/>
        <c:axId val="708676232"/>
      </c:lineChart>
      <c:dateAx>
        <c:axId val="70867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76232"/>
        <c:crosses val="autoZero"/>
        <c:auto val="1"/>
        <c:lblOffset val="100"/>
        <c:baseTimeUnit val="days"/>
      </c:dateAx>
      <c:valAx>
        <c:axId val="70867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7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Price'!$I$5</c:f>
              <c:strCache>
                <c:ptCount val="1"/>
                <c:pt idx="0">
                  <c:v>ICICI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Price'!$I$6:$I$32</c:f>
              <c:numCache>
                <c:formatCode>"$"#,##0.000;[Red]"$"#,##0.000</c:formatCode>
                <c:ptCount val="27"/>
                <c:pt idx="0">
                  <c:v>8.0565373563568503</c:v>
                </c:pt>
                <c:pt idx="1">
                  <c:v>7.27</c:v>
                </c:pt>
                <c:pt idx="2">
                  <c:v>7.37</c:v>
                </c:pt>
                <c:pt idx="3">
                  <c:v>7.36</c:v>
                </c:pt>
                <c:pt idx="4">
                  <c:v>7.53</c:v>
                </c:pt>
                <c:pt idx="5">
                  <c:v>7.67</c:v>
                </c:pt>
                <c:pt idx="6">
                  <c:v>7.67</c:v>
                </c:pt>
                <c:pt idx="7">
                  <c:v>7.35</c:v>
                </c:pt>
                <c:pt idx="8">
                  <c:v>7.4</c:v>
                </c:pt>
                <c:pt idx="9">
                  <c:v>7.49</c:v>
                </c:pt>
                <c:pt idx="10">
                  <c:v>7.19</c:v>
                </c:pt>
                <c:pt idx="11">
                  <c:v>7.17</c:v>
                </c:pt>
                <c:pt idx="12">
                  <c:v>7.32</c:v>
                </c:pt>
                <c:pt idx="13">
                  <c:v>7.27</c:v>
                </c:pt>
                <c:pt idx="14">
                  <c:v>7.27</c:v>
                </c:pt>
                <c:pt idx="15">
                  <c:v>7.3</c:v>
                </c:pt>
                <c:pt idx="16">
                  <c:v>7.28</c:v>
                </c:pt>
                <c:pt idx="17">
                  <c:v>7.3</c:v>
                </c:pt>
                <c:pt idx="18">
                  <c:v>7.23</c:v>
                </c:pt>
                <c:pt idx="19">
                  <c:v>7.29</c:v>
                </c:pt>
                <c:pt idx="20">
                  <c:v>7.49</c:v>
                </c:pt>
                <c:pt idx="21">
                  <c:v>7.33</c:v>
                </c:pt>
                <c:pt idx="22">
                  <c:v>7.34</c:v>
                </c:pt>
                <c:pt idx="23">
                  <c:v>7.21</c:v>
                </c:pt>
                <c:pt idx="24">
                  <c:v>7.58</c:v>
                </c:pt>
                <c:pt idx="25">
                  <c:v>8.01</c:v>
                </c:pt>
                <c:pt idx="26">
                  <c:v>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0-485D-991B-A7984DD0A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8686512"/>
        <c:axId val="698689464"/>
      </c:lineChart>
      <c:dateAx>
        <c:axId val="698686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89464"/>
        <c:crosses val="autoZero"/>
        <c:auto val="1"/>
        <c:lblOffset val="100"/>
        <c:baseTimeUnit val="days"/>
      </c:dateAx>
      <c:valAx>
        <c:axId val="69868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8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03652668416449"/>
          <c:y val="0.19486111111111112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Price'!$J$5</c:f>
              <c:strCache>
                <c:ptCount val="1"/>
                <c:pt idx="0">
                  <c:v>JPMorgan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Price'!$J$6:$J$32</c:f>
              <c:numCache>
                <c:formatCode>"$"#,##0.000;[Red]"$"#,##0.000</c:formatCode>
                <c:ptCount val="27"/>
                <c:pt idx="0">
                  <c:v>78.462327877526377</c:v>
                </c:pt>
                <c:pt idx="1">
                  <c:v>67.739998</c:v>
                </c:pt>
                <c:pt idx="2">
                  <c:v>68.309997999999993</c:v>
                </c:pt>
                <c:pt idx="3">
                  <c:v>67.519997000000004</c:v>
                </c:pt>
                <c:pt idx="4">
                  <c:v>67.699996999999996</c:v>
                </c:pt>
                <c:pt idx="5">
                  <c:v>68.260002</c:v>
                </c:pt>
                <c:pt idx="6">
                  <c:v>68.349997999999999</c:v>
                </c:pt>
                <c:pt idx="7">
                  <c:v>67.169998000000007</c:v>
                </c:pt>
                <c:pt idx="8">
                  <c:v>68.129997000000003</c:v>
                </c:pt>
                <c:pt idx="9">
                  <c:v>68.639999000000003</c:v>
                </c:pt>
                <c:pt idx="10">
                  <c:v>71.293811000000005</c:v>
                </c:pt>
                <c:pt idx="11">
                  <c:v>72.155895999999998</c:v>
                </c:pt>
                <c:pt idx="12">
                  <c:v>74.786148999999995</c:v>
                </c:pt>
                <c:pt idx="13">
                  <c:v>73.889696000000001</c:v>
                </c:pt>
                <c:pt idx="14">
                  <c:v>75.278706999999997</c:v>
                </c:pt>
                <c:pt idx="15">
                  <c:v>75.510002</c:v>
                </c:pt>
                <c:pt idx="16">
                  <c:v>72.328181000000001</c:v>
                </c:pt>
                <c:pt idx="17">
                  <c:v>69.441575999999998</c:v>
                </c:pt>
                <c:pt idx="18">
                  <c:v>71.047533000000001</c:v>
                </c:pt>
                <c:pt idx="19">
                  <c:v>69.012944000000005</c:v>
                </c:pt>
                <c:pt idx="20">
                  <c:v>68.110000999999997</c:v>
                </c:pt>
                <c:pt idx="21">
                  <c:v>70.352915999999993</c:v>
                </c:pt>
                <c:pt idx="22">
                  <c:v>77.290019999999998</c:v>
                </c:pt>
                <c:pt idx="23">
                  <c:v>76.650002000000001</c:v>
                </c:pt>
                <c:pt idx="24">
                  <c:v>77.92</c:v>
                </c:pt>
                <c:pt idx="25">
                  <c:v>78.675000199999999</c:v>
                </c:pt>
                <c:pt idx="26">
                  <c:v>78.650002000000001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6-4E62-B784-159E97DD6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632992"/>
        <c:axId val="804632664"/>
      </c:lineChart>
      <c:dateAx>
        <c:axId val="8046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632664"/>
        <c:crosses val="autoZero"/>
        <c:auto val="1"/>
        <c:lblOffset val="100"/>
        <c:baseTimeUnit val="days"/>
      </c:dateAx>
      <c:valAx>
        <c:axId val="8046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63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66426071741033"/>
          <c:y val="0.17634259259259263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Price'!$K$5</c:f>
              <c:strCache>
                <c:ptCount val="1"/>
                <c:pt idx="0">
                  <c:v>WFC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Price'!$K$6:$K$32</c:f>
              <c:numCache>
                <c:formatCode>"$"#,##0.000;[Red]"$"#,##0.000</c:formatCode>
                <c:ptCount val="27"/>
                <c:pt idx="0">
                  <c:v>53.159791131770987</c:v>
                </c:pt>
                <c:pt idx="1">
                  <c:v>52.647928999999998</c:v>
                </c:pt>
                <c:pt idx="2">
                  <c:v>52.115056000000003</c:v>
                </c:pt>
                <c:pt idx="3">
                  <c:v>53.326132000000001</c:v>
                </c:pt>
                <c:pt idx="4">
                  <c:v>52.977342</c:v>
                </c:pt>
                <c:pt idx="5">
                  <c:v>53.180802</c:v>
                </c:pt>
                <c:pt idx="6">
                  <c:v>53.568348</c:v>
                </c:pt>
                <c:pt idx="7">
                  <c:v>53.112982000000002</c:v>
                </c:pt>
                <c:pt idx="8">
                  <c:v>52.337893000000001</c:v>
                </c:pt>
                <c:pt idx="9">
                  <c:v>53.742742999999997</c:v>
                </c:pt>
                <c:pt idx="10">
                  <c:v>52.647928999999998</c:v>
                </c:pt>
                <c:pt idx="11">
                  <c:v>52.706062000000003</c:v>
                </c:pt>
                <c:pt idx="12">
                  <c:v>52.512289000000003</c:v>
                </c:pt>
                <c:pt idx="13">
                  <c:v>53.936512</c:v>
                </c:pt>
                <c:pt idx="14">
                  <c:v>53.364888000000001</c:v>
                </c:pt>
                <c:pt idx="15">
                  <c:v>53.975268</c:v>
                </c:pt>
                <c:pt idx="16">
                  <c:v>53.694296999999999</c:v>
                </c:pt>
                <c:pt idx="17">
                  <c:v>51.543427000000001</c:v>
                </c:pt>
                <c:pt idx="18">
                  <c:v>52.434778000000001</c:v>
                </c:pt>
                <c:pt idx="19">
                  <c:v>53.200178999999999</c:v>
                </c:pt>
                <c:pt idx="20">
                  <c:v>54.110908000000002</c:v>
                </c:pt>
                <c:pt idx="21">
                  <c:v>51.650002999999998</c:v>
                </c:pt>
                <c:pt idx="22">
                  <c:v>53.665232000000003</c:v>
                </c:pt>
                <c:pt idx="23">
                  <c:v>53.384262</c:v>
                </c:pt>
                <c:pt idx="24">
                  <c:v>53.500528000000003</c:v>
                </c:pt>
                <c:pt idx="25">
                  <c:v>53.558656999999997</c:v>
                </c:pt>
                <c:pt idx="26">
                  <c:v>53.868692000000003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46-42A3-9B65-FA085FA8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7086120"/>
        <c:axId val="807087760"/>
      </c:lineChart>
      <c:dateAx>
        <c:axId val="807086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087760"/>
        <c:crosses val="autoZero"/>
        <c:auto val="1"/>
        <c:lblOffset val="100"/>
        <c:baseTimeUnit val="days"/>
      </c:dateAx>
      <c:valAx>
        <c:axId val="80708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0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Price'!$L$5</c:f>
              <c:strCache>
                <c:ptCount val="1"/>
                <c:pt idx="0">
                  <c:v>Costco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Price'!$L$6:$L$32</c:f>
              <c:numCache>
                <c:formatCode>"$"#,##0.000;[Red]"$"#,##0.000</c:formatCode>
                <c:ptCount val="27"/>
                <c:pt idx="0">
                  <c:v>151.309</c:v>
                </c:pt>
                <c:pt idx="1">
                  <c:v>151.52133896520186</c:v>
                </c:pt>
                <c:pt idx="2">
                  <c:v>152.55110937444542</c:v>
                </c:pt>
                <c:pt idx="3">
                  <c:v>153.19524115489534</c:v>
                </c:pt>
                <c:pt idx="4">
                  <c:v>154.30559676974025</c:v>
                </c:pt>
                <c:pt idx="5">
                  <c:v>154.11537362820431</c:v>
                </c:pt>
                <c:pt idx="6">
                  <c:v>154.4252772265861</c:v>
                </c:pt>
                <c:pt idx="7">
                  <c:v>152.08521526242194</c:v>
                </c:pt>
                <c:pt idx="8">
                  <c:v>154.98801743182773</c:v>
                </c:pt>
                <c:pt idx="9">
                  <c:v>154.67878572634953</c:v>
                </c:pt>
                <c:pt idx="10">
                  <c:v>154.1556293771358</c:v>
                </c:pt>
                <c:pt idx="11">
                  <c:v>154.54237969219938</c:v>
                </c:pt>
                <c:pt idx="12">
                  <c:v>153.77082152365767</c:v>
                </c:pt>
                <c:pt idx="13">
                  <c:v>154.28369080426205</c:v>
                </c:pt>
                <c:pt idx="14">
                  <c:v>154.15390656692716</c:v>
                </c:pt>
                <c:pt idx="15">
                  <c:v>155.06757612583263</c:v>
                </c:pt>
                <c:pt idx="16">
                  <c:v>154.99469999760794</c:v>
                </c:pt>
                <c:pt idx="17">
                  <c:v>154.70416073672806</c:v>
                </c:pt>
                <c:pt idx="18">
                  <c:v>155.21412230372826</c:v>
                </c:pt>
                <c:pt idx="19">
                  <c:v>155.11113057031753</c:v>
                </c:pt>
                <c:pt idx="20">
                  <c:v>155.38427236098946</c:v>
                </c:pt>
                <c:pt idx="21">
                  <c:v>153.44942105694969</c:v>
                </c:pt>
                <c:pt idx="22">
                  <c:v>155.54673774658247</c:v>
                </c:pt>
                <c:pt idx="23">
                  <c:v>154.10894658644449</c:v>
                </c:pt>
                <c:pt idx="24">
                  <c:v>153.72951436680842</c:v>
                </c:pt>
                <c:pt idx="25">
                  <c:v>153.91334781106644</c:v>
                </c:pt>
                <c:pt idx="26">
                  <c:v>152.953619033569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54-4CAC-92C4-14D0DE8D3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545744"/>
        <c:axId val="804550008"/>
      </c:lineChart>
      <c:dateAx>
        <c:axId val="804545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50008"/>
        <c:crosses val="autoZero"/>
        <c:auto val="1"/>
        <c:lblOffset val="100"/>
        <c:baseTimeUnit val="days"/>
      </c:dateAx>
      <c:valAx>
        <c:axId val="80455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4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Price'!$M$5</c:f>
              <c:strCache>
                <c:ptCount val="1"/>
                <c:pt idx="0">
                  <c:v>HD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Price'!$M$6:$M$32</c:f>
              <c:numCache>
                <c:formatCode>"$"#,##0.000;[Red]"$"#,##0.000</c:formatCode>
                <c:ptCount val="27"/>
                <c:pt idx="0">
                  <c:v>127.84878402088999</c:v>
                </c:pt>
                <c:pt idx="1">
                  <c:v>127.67878402089022</c:v>
                </c:pt>
                <c:pt idx="2">
                  <c:v>128.91800387882478</c:v>
                </c:pt>
                <c:pt idx="3">
                  <c:v>126.98126200974885</c:v>
                </c:pt>
                <c:pt idx="4">
                  <c:v>125.70187570900899</c:v>
                </c:pt>
                <c:pt idx="5">
                  <c:v>127.72615429301186</c:v>
                </c:pt>
                <c:pt idx="6">
                  <c:v>126.3319895943786</c:v>
                </c:pt>
                <c:pt idx="7">
                  <c:v>127.78172172550964</c:v>
                </c:pt>
                <c:pt idx="8">
                  <c:v>124.87958872136809</c:v>
                </c:pt>
                <c:pt idx="9">
                  <c:v>120.12617474274087</c:v>
                </c:pt>
                <c:pt idx="10">
                  <c:v>124.156343428849</c:v>
                </c:pt>
                <c:pt idx="11">
                  <c:v>122.80231282480207</c:v>
                </c:pt>
                <c:pt idx="12">
                  <c:v>124.95068495914623</c:v>
                </c:pt>
                <c:pt idx="13">
                  <c:v>127.05738921184981</c:v>
                </c:pt>
                <c:pt idx="14">
                  <c:v>128.53089504232182</c:v>
                </c:pt>
                <c:pt idx="15">
                  <c:v>124.75025315463681</c:v>
                </c:pt>
                <c:pt idx="16">
                  <c:v>128.25155328642165</c:v>
                </c:pt>
                <c:pt idx="17">
                  <c:v>127.52982639549137</c:v>
                </c:pt>
                <c:pt idx="18">
                  <c:v>128.74425002938216</c:v>
                </c:pt>
                <c:pt idx="19">
                  <c:v>128.25297464335361</c:v>
                </c:pt>
                <c:pt idx="20">
                  <c:v>126.06018580358601</c:v>
                </c:pt>
                <c:pt idx="21">
                  <c:v>122.93552586098964</c:v>
                </c:pt>
                <c:pt idx="22">
                  <c:v>119.94111000241709</c:v>
                </c:pt>
                <c:pt idx="23">
                  <c:v>126.3004944942181</c:v>
                </c:pt>
                <c:pt idx="24">
                  <c:v>121.01372145293924</c:v>
                </c:pt>
                <c:pt idx="25">
                  <c:v>117.27068969630244</c:v>
                </c:pt>
                <c:pt idx="26">
                  <c:v>122.96057613892118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E0-439F-AF50-22F88339E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690336"/>
        <c:axId val="708692304"/>
      </c:lineChart>
      <c:dateAx>
        <c:axId val="708690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2304"/>
        <c:crosses val="autoZero"/>
        <c:auto val="1"/>
        <c:lblOffset val="100"/>
        <c:baseTimeUnit val="days"/>
      </c:dateAx>
      <c:valAx>
        <c:axId val="70869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66426071741033"/>
          <c:y val="0.19486111111111112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Price'!$N$5</c:f>
              <c:strCache>
                <c:ptCount val="1"/>
                <c:pt idx="0">
                  <c:v>JCP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Price'!$N$6:$N$32</c:f>
              <c:numCache>
                <c:formatCode>"$"#,##0.000;[Red]"$"#,##0.000</c:formatCode>
                <c:ptCount val="27"/>
                <c:pt idx="0">
                  <c:v>9.5377186834617458</c:v>
                </c:pt>
                <c:pt idx="1">
                  <c:v>9.66</c:v>
                </c:pt>
                <c:pt idx="2">
                  <c:v>9.85</c:v>
                </c:pt>
                <c:pt idx="3">
                  <c:v>9.9</c:v>
                </c:pt>
                <c:pt idx="4">
                  <c:v>9.74</c:v>
                </c:pt>
                <c:pt idx="5">
                  <c:v>9.81</c:v>
                </c:pt>
                <c:pt idx="6">
                  <c:v>9.5500000000000007</c:v>
                </c:pt>
                <c:pt idx="7">
                  <c:v>9.5299999999999994</c:v>
                </c:pt>
                <c:pt idx="8">
                  <c:v>9.4700000000000006</c:v>
                </c:pt>
                <c:pt idx="9">
                  <c:v>9.49</c:v>
                </c:pt>
                <c:pt idx="10">
                  <c:v>9.6300000000000008</c:v>
                </c:pt>
                <c:pt idx="11">
                  <c:v>9.66</c:v>
                </c:pt>
                <c:pt idx="12">
                  <c:v>9.2799999999999994</c:v>
                </c:pt>
                <c:pt idx="13">
                  <c:v>9.6199999999999992</c:v>
                </c:pt>
                <c:pt idx="14">
                  <c:v>9.32</c:v>
                </c:pt>
                <c:pt idx="15">
                  <c:v>9.0299999999999994</c:v>
                </c:pt>
                <c:pt idx="16">
                  <c:v>8.93</c:v>
                </c:pt>
                <c:pt idx="17">
                  <c:v>8.26</c:v>
                </c:pt>
                <c:pt idx="18">
                  <c:v>8.43</c:v>
                </c:pt>
                <c:pt idx="19">
                  <c:v>8.09</c:v>
                </c:pt>
                <c:pt idx="20">
                  <c:v>7.89</c:v>
                </c:pt>
                <c:pt idx="21">
                  <c:v>7.8</c:v>
                </c:pt>
                <c:pt idx="22">
                  <c:v>7.58</c:v>
                </c:pt>
                <c:pt idx="23">
                  <c:v>7.39</c:v>
                </c:pt>
                <c:pt idx="24">
                  <c:v>7.26</c:v>
                </c:pt>
                <c:pt idx="25">
                  <c:v>7.3</c:v>
                </c:pt>
                <c:pt idx="26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C-4D61-AEC6-9F677F5BF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546072"/>
        <c:axId val="804543120"/>
      </c:lineChart>
      <c:dateAx>
        <c:axId val="804546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43120"/>
        <c:crosses val="autoZero"/>
        <c:auto val="1"/>
        <c:lblOffset val="100"/>
        <c:baseTimeUnit val="days"/>
      </c:dateAx>
      <c:valAx>
        <c:axId val="80454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54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66426071741033"/>
          <c:y val="0.19486111111111112"/>
          <c:w val="0.84231867891513557"/>
          <c:h val="0.59360892388451447"/>
        </c:manualLayout>
      </c:layout>
      <c:lineChart>
        <c:grouping val="standard"/>
        <c:varyColors val="0"/>
        <c:ser>
          <c:idx val="0"/>
          <c:order val="0"/>
          <c:tx>
            <c:strRef>
              <c:f>'Predicted Price'!$O$5</c:f>
              <c:strCache>
                <c:ptCount val="1"/>
                <c:pt idx="0">
                  <c:v>TGT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Price'!$O$6:$O$32</c:f>
              <c:numCache>
                <c:formatCode>"$"#,##0.000;[Red]"$"#,##0.000</c:formatCode>
                <c:ptCount val="27"/>
                <c:pt idx="0">
                  <c:v>72.274515249250499</c:v>
                </c:pt>
                <c:pt idx="1">
                  <c:v>72.373078284142721</c:v>
                </c:pt>
                <c:pt idx="2">
                  <c:v>71.954803637558356</c:v>
                </c:pt>
                <c:pt idx="3">
                  <c:v>71.486048392607543</c:v>
                </c:pt>
                <c:pt idx="4">
                  <c:v>72.2763511267664</c:v>
                </c:pt>
                <c:pt idx="5">
                  <c:v>72.353649409550911</c:v>
                </c:pt>
                <c:pt idx="6">
                  <c:v>72.532890571503188</c:v>
                </c:pt>
                <c:pt idx="7">
                  <c:v>72.485168966649866</c:v>
                </c:pt>
                <c:pt idx="8">
                  <c:v>72.509085837433062</c:v>
                </c:pt>
                <c:pt idx="9">
                  <c:v>72.489673065641242</c:v>
                </c:pt>
                <c:pt idx="10">
                  <c:v>72.395745643604158</c:v>
                </c:pt>
                <c:pt idx="11">
                  <c:v>72.488765300284712</c:v>
                </c:pt>
                <c:pt idx="12">
                  <c:v>72.424674818491852</c:v>
                </c:pt>
                <c:pt idx="13">
                  <c:v>72.50412155028512</c:v>
                </c:pt>
                <c:pt idx="14">
                  <c:v>72.737934268743103</c:v>
                </c:pt>
                <c:pt idx="15">
                  <c:v>72.799485277509831</c:v>
                </c:pt>
                <c:pt idx="16">
                  <c:v>72.593488028704741</c:v>
                </c:pt>
                <c:pt idx="17">
                  <c:v>72.257187267426772</c:v>
                </c:pt>
                <c:pt idx="18">
                  <c:v>72.480301974510581</c:v>
                </c:pt>
                <c:pt idx="19">
                  <c:v>72.445426830040176</c:v>
                </c:pt>
                <c:pt idx="20">
                  <c:v>72.522854613433395</c:v>
                </c:pt>
                <c:pt idx="21">
                  <c:v>72.402146465517376</c:v>
                </c:pt>
                <c:pt idx="22">
                  <c:v>72.580662424060932</c:v>
                </c:pt>
                <c:pt idx="23">
                  <c:v>72.477513297588786</c:v>
                </c:pt>
                <c:pt idx="24">
                  <c:v>71.144420451033866</c:v>
                </c:pt>
                <c:pt idx="25">
                  <c:v>72.781631265961607</c:v>
                </c:pt>
                <c:pt idx="26">
                  <c:v>72.697468189820356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35-4C16-8A95-7D1338EEB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957736"/>
        <c:axId val="805956752"/>
      </c:lineChart>
      <c:dateAx>
        <c:axId val="805957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6752"/>
        <c:crosses val="autoZero"/>
        <c:auto val="1"/>
        <c:lblOffset val="100"/>
        <c:baseTimeUnit val="days"/>
      </c:dateAx>
      <c:valAx>
        <c:axId val="80595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Price'!$P$5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Price'!$P$6:$P$32</c:f>
              <c:numCache>
                <c:formatCode>"$"#,##0.000;[Red]"$"#,##0.000</c:formatCode>
                <c:ptCount val="27"/>
                <c:pt idx="0">
                  <c:v>70.547592247044804</c:v>
                </c:pt>
                <c:pt idx="1">
                  <c:v>70.413049981896734</c:v>
                </c:pt>
                <c:pt idx="2">
                  <c:v>70.84796485442439</c:v>
                </c:pt>
                <c:pt idx="3">
                  <c:v>70.823953787364104</c:v>
                </c:pt>
                <c:pt idx="4">
                  <c:v>70.675683720050344</c:v>
                </c:pt>
                <c:pt idx="5">
                  <c:v>71.020303718415192</c:v>
                </c:pt>
                <c:pt idx="6">
                  <c:v>70.80158305625271</c:v>
                </c:pt>
                <c:pt idx="7">
                  <c:v>70.931880270891668</c:v>
                </c:pt>
                <c:pt idx="8">
                  <c:v>70.879371848841885</c:v>
                </c:pt>
                <c:pt idx="9">
                  <c:v>70.887749629080488</c:v>
                </c:pt>
                <c:pt idx="10">
                  <c:v>70.899120630619635</c:v>
                </c:pt>
                <c:pt idx="11">
                  <c:v>70.694705331468256</c:v>
                </c:pt>
                <c:pt idx="12">
                  <c:v>70.663253002092276</c:v>
                </c:pt>
                <c:pt idx="13">
                  <c:v>70.692577852597523</c:v>
                </c:pt>
                <c:pt idx="14">
                  <c:v>70.536505796956021</c:v>
                </c:pt>
                <c:pt idx="15">
                  <c:v>70.674491628890451</c:v>
                </c:pt>
                <c:pt idx="16">
                  <c:v>70.516300791629192</c:v>
                </c:pt>
                <c:pt idx="17">
                  <c:v>70.533762909551442</c:v>
                </c:pt>
                <c:pt idx="18">
                  <c:v>70.549648139475863</c:v>
                </c:pt>
                <c:pt idx="19">
                  <c:v>70.48130465007975</c:v>
                </c:pt>
                <c:pt idx="20">
                  <c:v>70.436423006580441</c:v>
                </c:pt>
                <c:pt idx="21">
                  <c:v>70.307564347365982</c:v>
                </c:pt>
                <c:pt idx="22">
                  <c:v>70.320316414210211</c:v>
                </c:pt>
                <c:pt idx="23">
                  <c:v>70.215255365364939</c:v>
                </c:pt>
                <c:pt idx="24">
                  <c:v>70.048495513295052</c:v>
                </c:pt>
                <c:pt idx="25">
                  <c:v>69.944217755219825</c:v>
                </c:pt>
                <c:pt idx="26">
                  <c:v>69.932595050075065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91-47FB-BA93-4DCEEE0AE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93760"/>
        <c:axId val="812394088"/>
      </c:lineChart>
      <c:dateAx>
        <c:axId val="812393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94088"/>
        <c:crosses val="autoZero"/>
        <c:auto val="1"/>
        <c:lblOffset val="100"/>
        <c:baseTimeUnit val="days"/>
      </c:dateAx>
      <c:valAx>
        <c:axId val="81239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9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Price'!$Q$5</c:f>
              <c:strCache>
                <c:ptCount val="1"/>
                <c:pt idx="0">
                  <c:v>Bristow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Price'!$Q$6:$Q$32</c:f>
              <c:numCache>
                <c:formatCode>"$"#,##0.000;[Red]"$"#,##0.000</c:formatCode>
                <c:ptCount val="27"/>
                <c:pt idx="0">
                  <c:v>13.444807832662759</c:v>
                </c:pt>
                <c:pt idx="1">
                  <c:v>13.554762745095401</c:v>
                </c:pt>
                <c:pt idx="2">
                  <c:v>14.232219860966611</c:v>
                </c:pt>
                <c:pt idx="3">
                  <c:v>14.865206978420282</c:v>
                </c:pt>
                <c:pt idx="4">
                  <c:v>13.810236785956564</c:v>
                </c:pt>
                <c:pt idx="5">
                  <c:v>14.836010582436675</c:v>
                </c:pt>
                <c:pt idx="6">
                  <c:v>14.249283866788801</c:v>
                </c:pt>
                <c:pt idx="7">
                  <c:v>14.482110891914573</c:v>
                </c:pt>
                <c:pt idx="8">
                  <c:v>14.208057119527592</c:v>
                </c:pt>
                <c:pt idx="9">
                  <c:v>13.652648760744173</c:v>
                </c:pt>
                <c:pt idx="10">
                  <c:v>14.046286482076484</c:v>
                </c:pt>
                <c:pt idx="11">
                  <c:v>15.364703072862547</c:v>
                </c:pt>
                <c:pt idx="12">
                  <c:v>15.523829834280118</c:v>
                </c:pt>
                <c:pt idx="13">
                  <c:v>14.522305098639437</c:v>
                </c:pt>
                <c:pt idx="14">
                  <c:v>15.754766416509469</c:v>
                </c:pt>
                <c:pt idx="15">
                  <c:v>15.139238171269435</c:v>
                </c:pt>
                <c:pt idx="16">
                  <c:v>15.262110530447174</c:v>
                </c:pt>
                <c:pt idx="17">
                  <c:v>15.505490480168579</c:v>
                </c:pt>
                <c:pt idx="18">
                  <c:v>15.893888038849305</c:v>
                </c:pt>
                <c:pt idx="19">
                  <c:v>15.781191887698526</c:v>
                </c:pt>
                <c:pt idx="20">
                  <c:v>15.839008315044273</c:v>
                </c:pt>
                <c:pt idx="21">
                  <c:v>15.774310949957723</c:v>
                </c:pt>
                <c:pt idx="22">
                  <c:v>15.908927692959633</c:v>
                </c:pt>
                <c:pt idx="23">
                  <c:v>15.239990290542567</c:v>
                </c:pt>
                <c:pt idx="24">
                  <c:v>14.922533360544518</c:v>
                </c:pt>
                <c:pt idx="25">
                  <c:v>14.589721369390679</c:v>
                </c:pt>
                <c:pt idx="26">
                  <c:v>15.657591105261101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FD-4DB8-81A2-107E0066C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5356936"/>
        <c:axId val="815354968"/>
      </c:lineChart>
      <c:dateAx>
        <c:axId val="815356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354968"/>
        <c:crosses val="autoZero"/>
        <c:auto val="1"/>
        <c:lblOffset val="100"/>
        <c:baseTimeUnit val="days"/>
      </c:dateAx>
      <c:valAx>
        <c:axId val="81535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35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Price'!$R$5</c:f>
              <c:strCache>
                <c:ptCount val="1"/>
                <c:pt idx="0">
                  <c:v>Exxon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Price'!$R$6:$R$32</c:f>
              <c:numCache>
                <c:formatCode>"$"#,##0.000;[Red]"$"#,##0.000</c:formatCode>
                <c:ptCount val="27"/>
                <c:pt idx="0">
                  <c:v>85.305000000000007</c:v>
                </c:pt>
                <c:pt idx="1">
                  <c:v>85.622792259687387</c:v>
                </c:pt>
                <c:pt idx="2">
                  <c:v>85.829224076728096</c:v>
                </c:pt>
                <c:pt idx="3">
                  <c:v>85.878062979855741</c:v>
                </c:pt>
                <c:pt idx="4">
                  <c:v>85.557054505895195</c:v>
                </c:pt>
                <c:pt idx="5">
                  <c:v>82.637494895481652</c:v>
                </c:pt>
                <c:pt idx="6">
                  <c:v>84.23379701911216</c:v>
                </c:pt>
                <c:pt idx="7">
                  <c:v>84.960613770635845</c:v>
                </c:pt>
                <c:pt idx="8">
                  <c:v>85.102674191324084</c:v>
                </c:pt>
                <c:pt idx="9">
                  <c:v>84.649639738952516</c:v>
                </c:pt>
                <c:pt idx="10">
                  <c:v>84.912290410827083</c:v>
                </c:pt>
                <c:pt idx="11">
                  <c:v>85.363354490510844</c:v>
                </c:pt>
                <c:pt idx="12">
                  <c:v>84.980279835694105</c:v>
                </c:pt>
                <c:pt idx="13">
                  <c:v>83.934490653265897</c:v>
                </c:pt>
                <c:pt idx="14">
                  <c:v>85.411235918668652</c:v>
                </c:pt>
                <c:pt idx="15">
                  <c:v>85.062131296398007</c:v>
                </c:pt>
                <c:pt idx="16">
                  <c:v>84.846534040121171</c:v>
                </c:pt>
                <c:pt idx="17">
                  <c:v>85.45938233461969</c:v>
                </c:pt>
                <c:pt idx="18">
                  <c:v>83.617979458481301</c:v>
                </c:pt>
                <c:pt idx="19">
                  <c:v>85.486048333448082</c:v>
                </c:pt>
                <c:pt idx="20">
                  <c:v>85.319140022648753</c:v>
                </c:pt>
                <c:pt idx="21">
                  <c:v>84.690944120083742</c:v>
                </c:pt>
                <c:pt idx="22">
                  <c:v>84.493159892640151</c:v>
                </c:pt>
                <c:pt idx="23">
                  <c:v>83.865313265150078</c:v>
                </c:pt>
                <c:pt idx="24">
                  <c:v>83.275034203480473</c:v>
                </c:pt>
                <c:pt idx="25">
                  <c:v>82.823047576334403</c:v>
                </c:pt>
                <c:pt idx="26">
                  <c:v>84.440026784414457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4-4999-A2B2-467E9C8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5237472"/>
        <c:axId val="815242064"/>
      </c:lineChart>
      <c:dateAx>
        <c:axId val="815237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242064"/>
        <c:crosses val="autoZero"/>
        <c:auto val="1"/>
        <c:lblOffset val="100"/>
        <c:baseTimeUnit val="days"/>
      </c:dateAx>
      <c:valAx>
        <c:axId val="81524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23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Price'!$S$5</c:f>
              <c:strCache>
                <c:ptCount val="1"/>
                <c:pt idx="0">
                  <c:v>PBR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Price'!$S$6:$S$32</c:f>
              <c:numCache>
                <c:formatCode>"$"#,##0.000;[Red]"$"#,##0.000</c:formatCode>
                <c:ptCount val="27"/>
                <c:pt idx="0">
                  <c:v>9.5650131896953869</c:v>
                </c:pt>
                <c:pt idx="1">
                  <c:v>9.5749000942267788</c:v>
                </c:pt>
                <c:pt idx="2">
                  <c:v>9.584795846694373</c:v>
                </c:pt>
                <c:pt idx="3">
                  <c:v>9.5094853010627585</c:v>
                </c:pt>
                <c:pt idx="4">
                  <c:v>9.4885744144885624</c:v>
                </c:pt>
                <c:pt idx="5">
                  <c:v>9.442491433545344</c:v>
                </c:pt>
                <c:pt idx="6">
                  <c:v>9.398450403756712</c:v>
                </c:pt>
                <c:pt idx="7">
                  <c:v>9.4203837656885288</c:v>
                </c:pt>
                <c:pt idx="8">
                  <c:v>9.3492362867394991</c:v>
                </c:pt>
                <c:pt idx="9">
                  <c:v>9.3258003014953239</c:v>
                </c:pt>
                <c:pt idx="10">
                  <c:v>9.3207163046455523</c:v>
                </c:pt>
                <c:pt idx="11">
                  <c:v>9.2814702963130742</c:v>
                </c:pt>
                <c:pt idx="12">
                  <c:v>9.1979766454447702</c:v>
                </c:pt>
                <c:pt idx="13">
                  <c:v>9.1906300709566366</c:v>
                </c:pt>
                <c:pt idx="14">
                  <c:v>9.1424096519343365</c:v>
                </c:pt>
                <c:pt idx="15">
                  <c:v>9.1476491246308278</c:v>
                </c:pt>
                <c:pt idx="16">
                  <c:v>9.1206640726716603</c:v>
                </c:pt>
                <c:pt idx="17">
                  <c:v>9.0557847254241999</c:v>
                </c:pt>
                <c:pt idx="18">
                  <c:v>9.0515968366350741</c:v>
                </c:pt>
                <c:pt idx="19">
                  <c:v>9.0046408712454031</c:v>
                </c:pt>
                <c:pt idx="20">
                  <c:v>8.9841157409644676</c:v>
                </c:pt>
                <c:pt idx="21">
                  <c:v>8.9660123331959376</c:v>
                </c:pt>
                <c:pt idx="22">
                  <c:v>8.9216123468487254</c:v>
                </c:pt>
                <c:pt idx="23">
                  <c:v>8.8745219924542109</c:v>
                </c:pt>
                <c:pt idx="24">
                  <c:v>8.8522865308504812</c:v>
                </c:pt>
                <c:pt idx="25">
                  <c:v>8.8297994299157043</c:v>
                </c:pt>
                <c:pt idx="26">
                  <c:v>8.8122352104216723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F-4144-B607-B37C0D69F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850688"/>
        <c:axId val="811850360"/>
      </c:lineChart>
      <c:dateAx>
        <c:axId val="811850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850360"/>
        <c:crosses val="autoZero"/>
        <c:auto val="1"/>
        <c:lblOffset val="100"/>
        <c:baseTimeUnit val="days"/>
      </c:dateAx>
      <c:valAx>
        <c:axId val="81185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85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Price'!$T$5</c:f>
              <c:strCache>
                <c:ptCount val="1"/>
                <c:pt idx="0">
                  <c:v>Triangle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Price'!$T$6:$T$32</c:f>
              <c:numCache>
                <c:formatCode>"$"#,##0.000;[Red]"$"#,##0.000</c:formatCode>
                <c:ptCount val="27"/>
                <c:pt idx="0">
                  <c:v>0.24899453275730518</c:v>
                </c:pt>
                <c:pt idx="1">
                  <c:v>0.2470994815600831</c:v>
                </c:pt>
                <c:pt idx="2">
                  <c:v>0.26240946799944576</c:v>
                </c:pt>
                <c:pt idx="3">
                  <c:v>0.3645873063373245</c:v>
                </c:pt>
                <c:pt idx="4">
                  <c:v>0.25052741070763052</c:v>
                </c:pt>
                <c:pt idx="5">
                  <c:v>0.24413139497989558</c:v>
                </c:pt>
                <c:pt idx="6">
                  <c:v>0.24441815912185577</c:v>
                </c:pt>
                <c:pt idx="7">
                  <c:v>0.25018737689427545</c:v>
                </c:pt>
                <c:pt idx="8">
                  <c:v>0.25226033011465049</c:v>
                </c:pt>
                <c:pt idx="9">
                  <c:v>0.25476320304779398</c:v>
                </c:pt>
                <c:pt idx="10">
                  <c:v>0.25501101975932916</c:v>
                </c:pt>
                <c:pt idx="11">
                  <c:v>0.25850076066031874</c:v>
                </c:pt>
                <c:pt idx="12">
                  <c:v>0.2621251222638864</c:v>
                </c:pt>
                <c:pt idx="13">
                  <c:v>0.26375976709417071</c:v>
                </c:pt>
                <c:pt idx="14">
                  <c:v>0.26485723698020852</c:v>
                </c:pt>
                <c:pt idx="15">
                  <c:v>0.26837274310440234</c:v>
                </c:pt>
                <c:pt idx="16">
                  <c:v>0.27186098602729863</c:v>
                </c:pt>
                <c:pt idx="17">
                  <c:v>0.27540984953496556</c:v>
                </c:pt>
                <c:pt idx="18">
                  <c:v>0.28252140186986274</c:v>
                </c:pt>
                <c:pt idx="19">
                  <c:v>0.27684920915679584</c:v>
                </c:pt>
                <c:pt idx="20">
                  <c:v>0.28002077951077492</c:v>
                </c:pt>
                <c:pt idx="21">
                  <c:v>0.28322051185290747</c:v>
                </c:pt>
                <c:pt idx="22">
                  <c:v>0.28529806127736479</c:v>
                </c:pt>
                <c:pt idx="23">
                  <c:v>0.29066986185473853</c:v>
                </c:pt>
                <c:pt idx="24">
                  <c:v>0.29040387208028218</c:v>
                </c:pt>
                <c:pt idx="25">
                  <c:v>0.30356126399961614</c:v>
                </c:pt>
                <c:pt idx="26">
                  <c:v>0.31420774503901139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A0-44E7-BA17-F9CE45B42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7281672"/>
        <c:axId val="817281344"/>
      </c:lineChart>
      <c:dateAx>
        <c:axId val="817281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281344"/>
        <c:crosses val="autoZero"/>
        <c:auto val="1"/>
        <c:lblOffset val="100"/>
        <c:baseTimeUnit val="days"/>
      </c:dateAx>
      <c:valAx>
        <c:axId val="8172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28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'Predicted Price'!$U$5</c:f>
              <c:strCache>
                <c:ptCount val="1"/>
                <c:pt idx="0">
                  <c:v>Whiting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'Predicted Price'!$A$6:$A$32</c:f>
              <c:numCache>
                <c:formatCode>m/d/yyyy</c:formatCode>
                <c:ptCount val="27"/>
                <c:pt idx="0">
                  <c:v>42689</c:v>
                </c:pt>
                <c:pt idx="1">
                  <c:v>42690</c:v>
                </c:pt>
                <c:pt idx="2">
                  <c:v>42691</c:v>
                </c:pt>
                <c:pt idx="3">
                  <c:v>42692</c:v>
                </c:pt>
                <c:pt idx="4">
                  <c:v>42693</c:v>
                </c:pt>
                <c:pt idx="5">
                  <c:v>42694</c:v>
                </c:pt>
                <c:pt idx="6">
                  <c:v>42695</c:v>
                </c:pt>
                <c:pt idx="7">
                  <c:v>42696</c:v>
                </c:pt>
                <c:pt idx="8">
                  <c:v>42697</c:v>
                </c:pt>
                <c:pt idx="9">
                  <c:v>42698</c:v>
                </c:pt>
                <c:pt idx="10">
                  <c:v>42699</c:v>
                </c:pt>
                <c:pt idx="11">
                  <c:v>42700</c:v>
                </c:pt>
                <c:pt idx="12">
                  <c:v>42701</c:v>
                </c:pt>
                <c:pt idx="13">
                  <c:v>42702</c:v>
                </c:pt>
                <c:pt idx="14">
                  <c:v>42703</c:v>
                </c:pt>
                <c:pt idx="15">
                  <c:v>42704</c:v>
                </c:pt>
                <c:pt idx="16">
                  <c:v>42705</c:v>
                </c:pt>
                <c:pt idx="17">
                  <c:v>42706</c:v>
                </c:pt>
                <c:pt idx="18">
                  <c:v>42707</c:v>
                </c:pt>
                <c:pt idx="19">
                  <c:v>42708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42714</c:v>
                </c:pt>
                <c:pt idx="26">
                  <c:v>42715</c:v>
                </c:pt>
              </c:numCache>
            </c:numRef>
          </c:cat>
          <c:val>
            <c:numRef>
              <c:f>'Predicted Price'!$U$6:$U$32</c:f>
              <c:numCache>
                <c:formatCode>"$"#,##0.000;[Red]"$"#,##0.000</c:formatCode>
                <c:ptCount val="27"/>
                <c:pt idx="0">
                  <c:v>8.7419843165824158</c:v>
                </c:pt>
                <c:pt idx="1">
                  <c:v>8.7545917299175287</c:v>
                </c:pt>
                <c:pt idx="2">
                  <c:v>8.2257860265229574</c:v>
                </c:pt>
                <c:pt idx="3">
                  <c:v>7.337355101050905</c:v>
                </c:pt>
                <c:pt idx="4">
                  <c:v>7.9626731298885449</c:v>
                </c:pt>
                <c:pt idx="5">
                  <c:v>8.0286593580889232</c:v>
                </c:pt>
                <c:pt idx="6">
                  <c:v>8.4591185806749127</c:v>
                </c:pt>
                <c:pt idx="7">
                  <c:v>8.7793236145689306</c:v>
                </c:pt>
                <c:pt idx="8">
                  <c:v>9.1133388714526937</c:v>
                </c:pt>
                <c:pt idx="9">
                  <c:v>9.2386468959804766</c:v>
                </c:pt>
                <c:pt idx="10">
                  <c:v>8.6904263697538688</c:v>
                </c:pt>
                <c:pt idx="11">
                  <c:v>8.8158642848712407</c:v>
                </c:pt>
                <c:pt idx="12">
                  <c:v>8.9778472994005405</c:v>
                </c:pt>
                <c:pt idx="13">
                  <c:v>8.9819404587292304</c:v>
                </c:pt>
                <c:pt idx="14">
                  <c:v>8.5413533875340697</c:v>
                </c:pt>
                <c:pt idx="15">
                  <c:v>9.2453621917936779</c:v>
                </c:pt>
                <c:pt idx="16">
                  <c:v>8.8600015430424239</c:v>
                </c:pt>
                <c:pt idx="17">
                  <c:v>8.1119710869139645</c:v>
                </c:pt>
                <c:pt idx="18">
                  <c:v>8.683945903924041</c:v>
                </c:pt>
                <c:pt idx="19">
                  <c:v>6.9228146927420049</c:v>
                </c:pt>
                <c:pt idx="20">
                  <c:v>8.3302268833613553</c:v>
                </c:pt>
                <c:pt idx="21">
                  <c:v>8.6062920386640016</c:v>
                </c:pt>
                <c:pt idx="22">
                  <c:v>8.7556527441344265</c:v>
                </c:pt>
                <c:pt idx="23">
                  <c:v>7.8332439685505797</c:v>
                </c:pt>
                <c:pt idx="24">
                  <c:v>4.6702265458075374</c:v>
                </c:pt>
                <c:pt idx="25">
                  <c:v>6.1486201233255988</c:v>
                </c:pt>
                <c:pt idx="26">
                  <c:v>8.2652578549674551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B5-4280-8B7A-0A8E743BC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744488"/>
        <c:axId val="752737272"/>
      </c:lineChart>
      <c:dateAx>
        <c:axId val="752744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37272"/>
        <c:crosses val="autoZero"/>
        <c:auto val="1"/>
        <c:lblOffset val="100"/>
        <c:baseTimeUnit val="days"/>
      </c:dateAx>
      <c:valAx>
        <c:axId val="75273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;[Red]&quot;$&quot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4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33</xdr:row>
      <xdr:rowOff>175260</xdr:rowOff>
    </xdr:from>
    <xdr:to>
      <xdr:col>7</xdr:col>
      <xdr:colOff>38100</xdr:colOff>
      <xdr:row>48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487680</xdr:colOff>
      <xdr:row>33</xdr:row>
      <xdr:rowOff>144780</xdr:rowOff>
    </xdr:from>
    <xdr:to>
      <xdr:col>15</xdr:col>
      <xdr:colOff>243840</xdr:colOff>
      <xdr:row>48</xdr:row>
      <xdr:rowOff>144780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548640</xdr:colOff>
      <xdr:row>33</xdr:row>
      <xdr:rowOff>99060</xdr:rowOff>
    </xdr:from>
    <xdr:to>
      <xdr:col>23</xdr:col>
      <xdr:colOff>243840</xdr:colOff>
      <xdr:row>48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50</xdr:row>
      <xdr:rowOff>30480</xdr:rowOff>
    </xdr:from>
    <xdr:to>
      <xdr:col>7</xdr:col>
      <xdr:colOff>15240</xdr:colOff>
      <xdr:row>65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373380</xdr:colOff>
      <xdr:row>50</xdr:row>
      <xdr:rowOff>22860</xdr:rowOff>
    </xdr:from>
    <xdr:to>
      <xdr:col>15</xdr:col>
      <xdr:colOff>205740</xdr:colOff>
      <xdr:row>66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495300</xdr:colOff>
      <xdr:row>49</xdr:row>
      <xdr:rowOff>22860</xdr:rowOff>
    </xdr:from>
    <xdr:to>
      <xdr:col>23</xdr:col>
      <xdr:colOff>190500</xdr:colOff>
      <xdr:row>64</xdr:row>
      <xdr:rowOff>22860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312420</xdr:colOff>
      <xdr:row>42</xdr:row>
      <xdr:rowOff>7620</xdr:rowOff>
    </xdr:from>
    <xdr:to>
      <xdr:col>19</xdr:col>
      <xdr:colOff>68580</xdr:colOff>
      <xdr:row>57</xdr:row>
      <xdr:rowOff>7620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83820</xdr:colOff>
      <xdr:row>47</xdr:row>
      <xdr:rowOff>0</xdr:rowOff>
    </xdr:from>
    <xdr:to>
      <xdr:col>18</xdr:col>
      <xdr:colOff>449580</xdr:colOff>
      <xdr:row>62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205740</xdr:colOff>
      <xdr:row>53</xdr:row>
      <xdr:rowOff>167640</xdr:rowOff>
    </xdr:from>
    <xdr:to>
      <xdr:col>33</xdr:col>
      <xdr:colOff>22860</xdr:colOff>
      <xdr:row>69</xdr:row>
      <xdr:rowOff>160020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289560</xdr:colOff>
      <xdr:row>68</xdr:row>
      <xdr:rowOff>7620</xdr:rowOff>
    </xdr:from>
    <xdr:to>
      <xdr:col>15</xdr:col>
      <xdr:colOff>45720</xdr:colOff>
      <xdr:row>83</xdr:row>
      <xdr:rowOff>7620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68580</xdr:colOff>
      <xdr:row>17</xdr:row>
      <xdr:rowOff>22860</xdr:rowOff>
    </xdr:from>
    <xdr:to>
      <xdr:col>30</xdr:col>
      <xdr:colOff>373380</xdr:colOff>
      <xdr:row>32</xdr:row>
      <xdr:rowOff>22860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464820</xdr:colOff>
      <xdr:row>54</xdr:row>
      <xdr:rowOff>68580</xdr:rowOff>
    </xdr:from>
    <xdr:to>
      <xdr:col>20</xdr:col>
      <xdr:colOff>220980</xdr:colOff>
      <xdr:row>69</xdr:row>
      <xdr:rowOff>68580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137160</xdr:colOff>
      <xdr:row>83</xdr:row>
      <xdr:rowOff>76200</xdr:rowOff>
    </xdr:from>
    <xdr:to>
      <xdr:col>23</xdr:col>
      <xdr:colOff>480060</xdr:colOff>
      <xdr:row>99</xdr:row>
      <xdr:rowOff>53340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419100</xdr:colOff>
      <xdr:row>52</xdr:row>
      <xdr:rowOff>15240</xdr:rowOff>
    </xdr:from>
    <xdr:to>
      <xdr:col>43</xdr:col>
      <xdr:colOff>274320</xdr:colOff>
      <xdr:row>67</xdr:row>
      <xdr:rowOff>144780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449580</xdr:colOff>
      <xdr:row>64</xdr:row>
      <xdr:rowOff>106680</xdr:rowOff>
    </xdr:from>
    <xdr:to>
      <xdr:col>25</xdr:col>
      <xdr:colOff>144780</xdr:colOff>
      <xdr:row>79</xdr:row>
      <xdr:rowOff>106680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213360</xdr:colOff>
      <xdr:row>83</xdr:row>
      <xdr:rowOff>76200</xdr:rowOff>
    </xdr:from>
    <xdr:to>
      <xdr:col>7</xdr:col>
      <xdr:colOff>228600</xdr:colOff>
      <xdr:row>98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15240</xdr:colOff>
      <xdr:row>83</xdr:row>
      <xdr:rowOff>22860</xdr:rowOff>
    </xdr:from>
    <xdr:to>
      <xdr:col>15</xdr:col>
      <xdr:colOff>381000</xdr:colOff>
      <xdr:row>98</xdr:row>
      <xdr:rowOff>22860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33</xdr:col>
      <xdr:colOff>83820</xdr:colOff>
      <xdr:row>34</xdr:row>
      <xdr:rowOff>160020</xdr:rowOff>
    </xdr:from>
    <xdr:to>
      <xdr:col>40</xdr:col>
      <xdr:colOff>388620</xdr:colOff>
      <xdr:row>49</xdr:row>
      <xdr:rowOff>160020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60960</xdr:colOff>
      <xdr:row>34</xdr:row>
      <xdr:rowOff>160020</xdr:rowOff>
    </xdr:from>
    <xdr:to>
      <xdr:col>32</xdr:col>
      <xdr:colOff>365760</xdr:colOff>
      <xdr:row>49</xdr:row>
      <xdr:rowOff>160020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67</xdr:row>
      <xdr:rowOff>7620</xdr:rowOff>
    </xdr:from>
    <xdr:to>
      <xdr:col>7</xdr:col>
      <xdr:colOff>15240</xdr:colOff>
      <xdr:row>82</xdr:row>
      <xdr:rowOff>7620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1</xdr:row>
          <xdr:rowOff>0</xdr:rowOff>
        </xdr:from>
        <xdr:to>
          <xdr:col>3</xdr:col>
          <xdr:colOff>213360</xdr:colOff>
          <xdr:row>3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60"/>
  <sheetViews>
    <sheetView workbookViewId="0">
      <selection activeCell="C5" sqref="C5"/>
    </sheetView>
  </sheetViews>
  <sheetFormatPr defaultRowHeight="14.4" x14ac:dyDescent="0.3"/>
  <cols>
    <col min="1" max="1" width="20.5546875" bestFit="1" customWidth="1"/>
    <col min="2" max="2" width="8.88671875" customWidth="1"/>
    <col min="3" max="3" width="12" style="2" bestFit="1" customWidth="1"/>
    <col min="4" max="4" width="8.88671875" customWidth="1"/>
    <col min="5" max="5" width="8.88671875" style="2"/>
    <col min="6" max="6" width="8.88671875" customWidth="1"/>
    <col min="7" max="7" width="8.88671875" style="2"/>
    <col min="8" max="8" width="8.88671875" customWidth="1"/>
    <col min="9" max="9" width="8.88671875" style="2"/>
    <col min="10" max="10" width="8.88671875" customWidth="1"/>
    <col min="11" max="11" width="8.88671875" style="2"/>
    <col min="12" max="12" width="8.88671875" customWidth="1"/>
    <col min="13" max="13" width="8.88671875" style="2"/>
    <col min="14" max="14" width="0" hidden="1" customWidth="1"/>
    <col min="15" max="15" width="8.88671875" style="2"/>
    <col min="16" max="16" width="0" hidden="1" customWidth="1"/>
    <col min="17" max="17" width="8.88671875" style="2"/>
    <col min="18" max="18" width="0" hidden="1" customWidth="1"/>
    <col min="19" max="19" width="8.88671875" style="2"/>
    <col min="20" max="20" width="0" hidden="1" customWidth="1"/>
    <col min="21" max="21" width="8.88671875" style="2"/>
    <col min="22" max="22" width="0" hidden="1" customWidth="1"/>
    <col min="23" max="23" width="8.88671875" style="2"/>
    <col min="24" max="24" width="0" hidden="1" customWidth="1"/>
    <col min="25" max="25" width="8.88671875" style="2"/>
    <col min="26" max="26" width="0" hidden="1" customWidth="1"/>
    <col min="27" max="27" width="8.88671875" style="2"/>
    <col min="28" max="28" width="0" hidden="1" customWidth="1"/>
    <col min="29" max="29" width="8.88671875" style="2"/>
    <col min="30" max="30" width="0" hidden="1" customWidth="1"/>
    <col min="31" max="31" width="8.88671875" style="2"/>
    <col min="32" max="32" width="0" hidden="1" customWidth="1"/>
    <col min="33" max="33" width="8.88671875" style="2"/>
    <col min="34" max="34" width="0" hidden="1" customWidth="1"/>
    <col min="35" max="35" width="8.88671875" style="2"/>
    <col min="36" max="36" width="0" hidden="1" customWidth="1"/>
    <col min="37" max="37" width="8.88671875" style="2"/>
    <col min="38" max="38" width="0" hidden="1" customWidth="1"/>
    <col min="39" max="39" width="8.88671875" style="2"/>
    <col min="40" max="40" width="0" hidden="1" customWidth="1"/>
    <col min="41" max="41" width="8.88671875" style="2"/>
    <col min="42" max="42" width="0" hidden="1" customWidth="1"/>
  </cols>
  <sheetData>
    <row r="1" spans="1:43" x14ac:dyDescent="0.3">
      <c r="V1" s="79" t="s">
        <v>1</v>
      </c>
      <c r="W1" s="79"/>
      <c r="X1" s="79"/>
      <c r="Y1" s="79"/>
      <c r="Z1" s="79"/>
      <c r="AA1" s="79"/>
      <c r="AB1" s="79"/>
      <c r="AC1" s="79"/>
      <c r="AD1" s="79"/>
      <c r="AE1" s="6"/>
    </row>
    <row r="2" spans="1:43" s="1" customFormat="1" x14ac:dyDescent="0.3">
      <c r="A2" s="81"/>
      <c r="B2" s="81"/>
      <c r="C2" s="81"/>
      <c r="D2" s="80" t="s">
        <v>9</v>
      </c>
      <c r="E2" s="80"/>
      <c r="F2" s="80"/>
      <c r="G2" s="80"/>
      <c r="H2" s="80"/>
      <c r="I2" s="80"/>
      <c r="J2" s="80"/>
      <c r="K2" s="80"/>
      <c r="L2" s="80"/>
      <c r="M2" s="80"/>
      <c r="N2" s="80" t="s">
        <v>27</v>
      </c>
      <c r="O2" s="80"/>
      <c r="P2" s="80"/>
      <c r="Q2" s="80"/>
      <c r="R2" s="80"/>
      <c r="S2" s="80"/>
      <c r="T2" s="80"/>
      <c r="U2" s="80"/>
      <c r="V2" s="80"/>
      <c r="W2" s="80"/>
      <c r="X2" s="80" t="s">
        <v>15</v>
      </c>
      <c r="Y2" s="80"/>
      <c r="Z2" s="80"/>
      <c r="AA2" s="80"/>
      <c r="AB2" s="80"/>
      <c r="AC2" s="80"/>
      <c r="AD2" s="80"/>
      <c r="AE2" s="80"/>
      <c r="AF2" s="80"/>
      <c r="AG2" s="80"/>
      <c r="AH2" s="80" t="s">
        <v>21</v>
      </c>
      <c r="AI2" s="80"/>
      <c r="AJ2" s="80"/>
      <c r="AK2" s="80"/>
      <c r="AL2" s="80"/>
      <c r="AM2" s="80"/>
      <c r="AN2" s="80"/>
      <c r="AO2" s="80"/>
      <c r="AP2" s="80"/>
      <c r="AQ2" s="80"/>
    </row>
    <row r="3" spans="1:43" x14ac:dyDescent="0.3">
      <c r="A3" s="5"/>
      <c r="B3" s="80" t="s">
        <v>2</v>
      </c>
      <c r="C3" s="80"/>
      <c r="D3" s="80" t="s">
        <v>4</v>
      </c>
      <c r="E3" s="80"/>
      <c r="F3" s="80" t="s">
        <v>5</v>
      </c>
      <c r="G3" s="80"/>
      <c r="H3" s="80" t="s">
        <v>6</v>
      </c>
      <c r="I3" s="80"/>
      <c r="J3" s="80" t="s">
        <v>7</v>
      </c>
      <c r="K3" s="80"/>
      <c r="L3" s="80" t="s">
        <v>8</v>
      </c>
      <c r="M3" s="80"/>
      <c r="N3" s="80" t="s">
        <v>10</v>
      </c>
      <c r="O3" s="80"/>
      <c r="P3" s="80" t="s">
        <v>11</v>
      </c>
      <c r="Q3" s="80"/>
      <c r="R3" s="80" t="s">
        <v>12</v>
      </c>
      <c r="S3" s="80"/>
      <c r="T3" s="80" t="s">
        <v>13</v>
      </c>
      <c r="U3" s="80"/>
      <c r="V3" s="80" t="s">
        <v>14</v>
      </c>
      <c r="W3" s="80"/>
      <c r="X3" s="80" t="s">
        <v>16</v>
      </c>
      <c r="Y3" s="80"/>
      <c r="Z3" s="80" t="s">
        <v>17</v>
      </c>
      <c r="AA3" s="80"/>
      <c r="AB3" s="80" t="s">
        <v>18</v>
      </c>
      <c r="AC3" s="80"/>
      <c r="AD3" s="80" t="s">
        <v>19</v>
      </c>
      <c r="AE3" s="80"/>
      <c r="AF3" s="80" t="s">
        <v>20</v>
      </c>
      <c r="AG3" s="80"/>
      <c r="AH3" s="80" t="s">
        <v>22</v>
      </c>
      <c r="AI3" s="80"/>
      <c r="AJ3" s="80" t="s">
        <v>23</v>
      </c>
      <c r="AK3" s="80"/>
      <c r="AL3" s="80" t="s">
        <v>24</v>
      </c>
      <c r="AM3" s="80"/>
      <c r="AN3" s="80" t="s">
        <v>25</v>
      </c>
      <c r="AO3" s="80"/>
      <c r="AP3" s="80" t="s">
        <v>26</v>
      </c>
      <c r="AQ3" s="80"/>
    </row>
    <row r="4" spans="1:43" x14ac:dyDescent="0.3">
      <c r="A4" s="5" t="s">
        <v>0</v>
      </c>
      <c r="B4" s="5" t="s">
        <v>3</v>
      </c>
      <c r="C4" s="5" t="s">
        <v>28</v>
      </c>
      <c r="D4" s="5" t="s">
        <v>3</v>
      </c>
      <c r="E4" s="5" t="s">
        <v>28</v>
      </c>
      <c r="F4" s="5" t="s">
        <v>3</v>
      </c>
      <c r="G4" s="5" t="s">
        <v>28</v>
      </c>
      <c r="H4" s="5" t="s">
        <v>3</v>
      </c>
      <c r="I4" s="5" t="s">
        <v>28</v>
      </c>
      <c r="J4" s="5" t="s">
        <v>3</v>
      </c>
      <c r="K4" s="5" t="s">
        <v>28</v>
      </c>
      <c r="L4" s="5" t="s">
        <v>3</v>
      </c>
      <c r="M4" s="5" t="s">
        <v>28</v>
      </c>
      <c r="N4" s="5" t="s">
        <v>3</v>
      </c>
      <c r="O4" s="5" t="s">
        <v>28</v>
      </c>
      <c r="P4" s="5" t="s">
        <v>3</v>
      </c>
      <c r="Q4" s="5" t="s">
        <v>28</v>
      </c>
      <c r="R4" s="5" t="s">
        <v>3</v>
      </c>
      <c r="S4" s="5" t="s">
        <v>28</v>
      </c>
      <c r="T4" s="5" t="s">
        <v>3</v>
      </c>
      <c r="U4" s="5" t="s">
        <v>28</v>
      </c>
      <c r="V4" s="5" t="s">
        <v>3</v>
      </c>
      <c r="W4" s="5" t="s">
        <v>28</v>
      </c>
      <c r="X4" s="5" t="s">
        <v>3</v>
      </c>
      <c r="Y4" s="5" t="s">
        <v>28</v>
      </c>
      <c r="Z4" s="5" t="s">
        <v>3</v>
      </c>
      <c r="AA4" s="5" t="s">
        <v>28</v>
      </c>
      <c r="AB4" s="5" t="s">
        <v>3</v>
      </c>
      <c r="AC4" s="5" t="s">
        <v>28</v>
      </c>
      <c r="AD4" s="5" t="s">
        <v>3</v>
      </c>
      <c r="AE4" s="5" t="s">
        <v>28</v>
      </c>
      <c r="AF4" s="5" t="s">
        <v>3</v>
      </c>
      <c r="AG4" s="5" t="s">
        <v>28</v>
      </c>
      <c r="AH4" s="5" t="s">
        <v>3</v>
      </c>
      <c r="AI4" s="5" t="s">
        <v>28</v>
      </c>
      <c r="AJ4" s="5" t="s">
        <v>3</v>
      </c>
      <c r="AK4" s="5" t="s">
        <v>28</v>
      </c>
      <c r="AL4" s="5" t="s">
        <v>3</v>
      </c>
      <c r="AM4" s="5" t="s">
        <v>28</v>
      </c>
      <c r="AN4" s="5" t="s">
        <v>3</v>
      </c>
      <c r="AO4" s="5" t="s">
        <v>28</v>
      </c>
      <c r="AP4" s="5" t="s">
        <v>3</v>
      </c>
      <c r="AQ4" s="8" t="s">
        <v>28</v>
      </c>
    </row>
    <row r="5" spans="1:43" x14ac:dyDescent="0.3">
      <c r="A5" s="4">
        <v>42688</v>
      </c>
      <c r="B5" s="3">
        <v>18868.689452999999</v>
      </c>
      <c r="C5" s="7">
        <f>B5/B6-1</f>
        <v>1.1157510707398011E-3</v>
      </c>
      <c r="D5" s="3">
        <v>105.709999</v>
      </c>
      <c r="E5" s="7">
        <f>D5/D6-1</f>
        <v>-2.5085317716499245E-2</v>
      </c>
      <c r="F5" s="3">
        <v>102.41999800000001</v>
      </c>
      <c r="G5" s="7">
        <f>F5/F6-1</f>
        <v>-1.2152797067901289E-2</v>
      </c>
      <c r="H5" s="3">
        <v>58.119999</v>
      </c>
      <c r="I5" s="7">
        <f>H5/H6-1</f>
        <v>-1.524908505591327E-2</v>
      </c>
      <c r="J5" s="3">
        <v>39.299999</v>
      </c>
      <c r="K5" s="7">
        <f>J5/J6-1</f>
        <v>-3.802331969522621E-3</v>
      </c>
      <c r="L5" s="3">
        <v>81.610000999999997</v>
      </c>
      <c r="M5" s="7">
        <f>L5/L6-1</f>
        <v>-1.8166529661939546E-2</v>
      </c>
      <c r="N5" s="3">
        <v>20.079999999999998</v>
      </c>
      <c r="O5" s="7">
        <f>N5/N6-1</f>
        <v>5.5730809674027215E-2</v>
      </c>
      <c r="P5" s="3">
        <v>54.68</v>
      </c>
      <c r="Q5" s="7">
        <f>P5/P6-1</f>
        <v>3.5017943024117315E-2</v>
      </c>
      <c r="R5" s="3">
        <v>8.0399999999999991</v>
      </c>
      <c r="S5" s="7">
        <f>R5/R6-1</f>
        <v>-2.4271844660194275E-2</v>
      </c>
      <c r="T5" s="3">
        <v>79.510002</v>
      </c>
      <c r="U5" s="7">
        <f>T5/T6-1</f>
        <v>3.6771416435743332E-2</v>
      </c>
      <c r="V5" s="3">
        <v>53.220001000000003</v>
      </c>
      <c r="W5" s="7">
        <f>V5/V6-1</f>
        <v>2.8803421612217495E-2</v>
      </c>
      <c r="X5" s="3">
        <v>152</v>
      </c>
      <c r="Y5" s="7">
        <f>X5/X6-1</f>
        <v>1.7675408290871664E-2</v>
      </c>
      <c r="Z5" s="3">
        <v>127.66999800000001</v>
      </c>
      <c r="AA5" s="7">
        <f>Z5/Z6-1</f>
        <v>-1.678866306713922E-2</v>
      </c>
      <c r="AB5" s="3">
        <v>9.52</v>
      </c>
      <c r="AC5" s="7">
        <f>AB5/AB6-1</f>
        <v>3.9301310043668103E-2</v>
      </c>
      <c r="AD5" s="3">
        <v>72.169998000000007</v>
      </c>
      <c r="AE5" s="7">
        <f>AD5/AD6-1</f>
        <v>2.0070671945460639E-2</v>
      </c>
      <c r="AF5" s="3">
        <v>70.489998</v>
      </c>
      <c r="AG5" s="7">
        <f>AF5/AF6-1</f>
        <v>-1.0388950847018741E-2</v>
      </c>
      <c r="AH5" s="3">
        <v>13.54</v>
      </c>
      <c r="AI5" s="7">
        <f>AH5/AH6-1</f>
        <v>7.6311605723370368E-2</v>
      </c>
      <c r="AJ5" s="3">
        <v>85.279999000000004</v>
      </c>
      <c r="AK5" s="7">
        <f>AJ5/AJ6-1</f>
        <v>-4.5523404821370406E-3</v>
      </c>
      <c r="AL5" s="3">
        <v>9.57</v>
      </c>
      <c r="AM5" s="7">
        <f>AL5/AL6-1</f>
        <v>-1.6443987667009274E-2</v>
      </c>
      <c r="AN5" s="3">
        <v>0.25</v>
      </c>
      <c r="AO5" s="7">
        <f>AN5/AN6-1</f>
        <v>4.1666666666666741E-2</v>
      </c>
      <c r="AP5" s="3">
        <v>8.74</v>
      </c>
      <c r="AQ5" s="7">
        <f>AP5/AP6-1</f>
        <v>2.8235294117647136E-2</v>
      </c>
    </row>
    <row r="6" spans="1:43" x14ac:dyDescent="0.3">
      <c r="A6" s="4">
        <v>42685</v>
      </c>
      <c r="B6" s="3">
        <v>18847.660156000002</v>
      </c>
      <c r="C6" s="7">
        <f t="shared" ref="C6:C69" si="0">B6/B7-1</f>
        <v>2.1150334425350525E-3</v>
      </c>
      <c r="D6" s="3">
        <v>108.43</v>
      </c>
      <c r="E6" s="7">
        <f t="shared" ref="E6:E69" si="1">D6/D7-1</f>
        <v>5.9374616760603516E-3</v>
      </c>
      <c r="F6" s="3">
        <v>103.68</v>
      </c>
      <c r="G6" s="7">
        <f t="shared" ref="G6:G69" si="2">F6/F7-1</f>
        <v>-3.8432166824899916E-3</v>
      </c>
      <c r="H6" s="3">
        <v>59.02</v>
      </c>
      <c r="I6" s="7">
        <f t="shared" ref="I6:I69" si="3">H6/H7-1</f>
        <v>5.4514309122415394E-3</v>
      </c>
      <c r="J6" s="3">
        <v>39.450001</v>
      </c>
      <c r="K6" s="7">
        <f t="shared" ref="K6:K69" si="4">J6/J7-1</f>
        <v>-3.2845122140215954E-3</v>
      </c>
      <c r="L6" s="3">
        <v>83.120002999999997</v>
      </c>
      <c r="M6" s="7">
        <f t="shared" ref="M6:M69" si="5">L6/L7-1</f>
        <v>-1.4582039468453822E-2</v>
      </c>
      <c r="N6" s="3">
        <v>19.02</v>
      </c>
      <c r="O6" s="7">
        <f t="shared" ref="O6:O69" si="6">N6/N7-1</f>
        <v>1.3859275053304865E-2</v>
      </c>
      <c r="P6" s="3">
        <v>52.830002</v>
      </c>
      <c r="Q6" s="7">
        <f t="shared" ref="Q6:Q69" si="7">P6/P7-1</f>
        <v>-1.4549505417841613E-2</v>
      </c>
      <c r="R6" s="3">
        <v>8.24</v>
      </c>
      <c r="S6" s="7">
        <f t="shared" ref="S6:S69" si="8">R6/R7-1</f>
        <v>-3.3997655334114807E-2</v>
      </c>
      <c r="T6" s="3">
        <v>76.690002000000007</v>
      </c>
      <c r="U6" s="7">
        <f t="shared" ref="U6:U69" si="9">T6/T7-1</f>
        <v>5.2185256303061145E-4</v>
      </c>
      <c r="V6" s="3">
        <v>51.73</v>
      </c>
      <c r="W6" s="7">
        <f t="shared" ref="W6:W69" si="10">V6/V7-1</f>
        <v>1.9368390095517718E-3</v>
      </c>
      <c r="X6" s="3">
        <v>149.36000100000001</v>
      </c>
      <c r="Y6" s="7">
        <f t="shared" ref="Y6:Y69" si="11">X6/X7-1</f>
        <v>1.8132270309453524E-2</v>
      </c>
      <c r="Z6" s="3">
        <v>129.85000600000001</v>
      </c>
      <c r="AA6" s="7">
        <f t="shared" ref="AA6:AA69" si="12">Z6/Z7-1</f>
        <v>6.355165514648986E-3</v>
      </c>
      <c r="AB6" s="3">
        <v>9.16</v>
      </c>
      <c r="AC6" s="7">
        <f t="shared" ref="AC6:AC69" si="13">AB6/AB7-1</f>
        <v>3.9727582292848895E-2</v>
      </c>
      <c r="AD6" s="3">
        <v>70.749998000000005</v>
      </c>
      <c r="AE6" s="7">
        <f t="shared" ref="AE6:AE69" si="14">AD6/AD7-1</f>
        <v>1.1482810681922251E-2</v>
      </c>
      <c r="AF6" s="3">
        <v>71.230002999999996</v>
      </c>
      <c r="AG6" s="7">
        <f t="shared" ref="AG6:AG69" si="15">AF6/AF7-1</f>
        <v>-2.2411542546737495E-3</v>
      </c>
      <c r="AH6" s="3">
        <v>12.58</v>
      </c>
      <c r="AI6" s="7">
        <f t="shared" ref="AI6:AI69" si="16">AH6/AH7-1</f>
        <v>-1.4878621769772837E-2</v>
      </c>
      <c r="AJ6" s="3">
        <v>85.669998000000007</v>
      </c>
      <c r="AK6" s="7">
        <f t="shared" ref="AK6:AK69" si="17">AJ6/AJ7-1</f>
        <v>-1.5853014961986767E-2</v>
      </c>
      <c r="AL6" s="3">
        <v>9.73</v>
      </c>
      <c r="AM6" s="7">
        <f t="shared" ref="AM6:AM69" si="18">AL6/AL7-1</f>
        <v>-5.8994197292069561E-2</v>
      </c>
      <c r="AN6" s="3">
        <v>0.24</v>
      </c>
      <c r="AO6" s="7">
        <f t="shared" ref="AO6:AO69" si="19">AN6/AN7-1</f>
        <v>-4.0000000000000036E-2</v>
      </c>
      <c r="AP6" s="3">
        <v>8.5</v>
      </c>
      <c r="AQ6" s="7">
        <f t="shared" ref="AQ6:AQ69" si="20">AP6/AP7-1</f>
        <v>-1.7341040462427793E-2</v>
      </c>
    </row>
    <row r="7" spans="1:43" x14ac:dyDescent="0.3">
      <c r="A7" s="4">
        <v>42684</v>
      </c>
      <c r="B7" s="3">
        <v>18807.880859000001</v>
      </c>
      <c r="C7" s="7">
        <f t="shared" si="0"/>
        <v>1.1737227055441224E-2</v>
      </c>
      <c r="D7" s="3">
        <v>107.790001</v>
      </c>
      <c r="E7" s="7">
        <f t="shared" si="1"/>
        <v>-2.7867930046931777E-2</v>
      </c>
      <c r="F7" s="3">
        <v>104.08000199999999</v>
      </c>
      <c r="G7" s="7">
        <f t="shared" si="2"/>
        <v>-3.5045419663958688E-2</v>
      </c>
      <c r="H7" s="3">
        <v>58.700001</v>
      </c>
      <c r="I7" s="7">
        <f t="shared" si="3"/>
        <v>-2.4430730411524992E-2</v>
      </c>
      <c r="J7" s="3">
        <v>39.580002</v>
      </c>
      <c r="K7" s="7">
        <f t="shared" si="4"/>
        <v>7.5860937442762122E-4</v>
      </c>
      <c r="L7" s="3">
        <v>84.349997999999999</v>
      </c>
      <c r="M7" s="7">
        <f t="shared" si="5"/>
        <v>-1.884381739160379E-2</v>
      </c>
      <c r="N7" s="3">
        <v>18.760000000000002</v>
      </c>
      <c r="O7" s="7">
        <f t="shared" si="6"/>
        <v>4.3962217248871394E-2</v>
      </c>
      <c r="P7" s="3">
        <v>53.610000999999997</v>
      </c>
      <c r="Q7" s="7">
        <f t="shared" si="7"/>
        <v>3.9154894359371806E-2</v>
      </c>
      <c r="R7" s="3">
        <v>8.5299999999999994</v>
      </c>
      <c r="S7" s="7">
        <f t="shared" si="8"/>
        <v>-5.8275058275059077E-3</v>
      </c>
      <c r="T7" s="3">
        <v>76.650002000000001</v>
      </c>
      <c r="U7" s="7">
        <f t="shared" si="9"/>
        <v>4.6416409556313987E-2</v>
      </c>
      <c r="V7" s="3">
        <v>51.630001</v>
      </c>
      <c r="W7" s="7">
        <f t="shared" si="10"/>
        <v>7.5849111237795031E-2</v>
      </c>
      <c r="X7" s="3">
        <v>146.699997</v>
      </c>
      <c r="Y7" s="7">
        <f t="shared" si="11"/>
        <v>-6.130935642187918E-4</v>
      </c>
      <c r="Z7" s="3">
        <v>129.029999</v>
      </c>
      <c r="AA7" s="7">
        <f t="shared" si="12"/>
        <v>2.3885114042654587E-2</v>
      </c>
      <c r="AB7" s="3">
        <v>8.81</v>
      </c>
      <c r="AC7" s="7">
        <f t="shared" si="13"/>
        <v>5.3827751196172446E-2</v>
      </c>
      <c r="AD7" s="3">
        <v>69.946811999999994</v>
      </c>
      <c r="AE7" s="7">
        <f t="shared" si="14"/>
        <v>2.5141754474291789E-2</v>
      </c>
      <c r="AF7" s="3">
        <v>71.389999000000003</v>
      </c>
      <c r="AG7" s="7">
        <f t="shared" si="15"/>
        <v>4.078776486041491E-3</v>
      </c>
      <c r="AH7" s="3">
        <v>12.77</v>
      </c>
      <c r="AI7" s="7">
        <f t="shared" si="16"/>
        <v>-5.4517133956386576E-3</v>
      </c>
      <c r="AJ7" s="3">
        <v>87.050003000000004</v>
      </c>
      <c r="AK7" s="7">
        <f t="shared" si="17"/>
        <v>9.275397101449423E-3</v>
      </c>
      <c r="AL7" s="3">
        <v>10.34</v>
      </c>
      <c r="AM7" s="7">
        <f t="shared" si="18"/>
        <v>-8.657243816254423E-2</v>
      </c>
      <c r="AN7" s="3">
        <v>0.25</v>
      </c>
      <c r="AO7" s="7">
        <f t="shared" si="19"/>
        <v>4.1666666666666741E-2</v>
      </c>
      <c r="AP7" s="3">
        <v>8.65</v>
      </c>
      <c r="AQ7" s="7">
        <f t="shared" si="20"/>
        <v>-1.7045454545454586E-2</v>
      </c>
    </row>
    <row r="8" spans="1:43" x14ac:dyDescent="0.3">
      <c r="A8" s="4">
        <v>42683</v>
      </c>
      <c r="B8" s="3">
        <v>18589.689452999999</v>
      </c>
      <c r="C8" s="7">
        <f t="shared" si="0"/>
        <v>1.4015865370931246E-2</v>
      </c>
      <c r="D8" s="3">
        <v>110.879997</v>
      </c>
      <c r="E8" s="7">
        <f t="shared" si="1"/>
        <v>-1.6207545762785269E-3</v>
      </c>
      <c r="F8" s="3">
        <v>107.860001</v>
      </c>
      <c r="G8" s="7">
        <f t="shared" si="2"/>
        <v>-4.8897315701609267E-3</v>
      </c>
      <c r="H8" s="3">
        <v>60.169998</v>
      </c>
      <c r="I8" s="7">
        <f t="shared" si="3"/>
        <v>-4.9611872835921833E-3</v>
      </c>
      <c r="J8" s="3">
        <v>39.549999</v>
      </c>
      <c r="K8" s="7">
        <f t="shared" si="4"/>
        <v>1.0733401207937643E-2</v>
      </c>
      <c r="L8" s="3">
        <v>85.970000999999996</v>
      </c>
      <c r="M8" s="7">
        <f t="shared" si="5"/>
        <v>-5.6673375626571376E-3</v>
      </c>
      <c r="N8" s="3">
        <v>17.969999000000001</v>
      </c>
      <c r="O8" s="7">
        <f t="shared" si="6"/>
        <v>5.7058764705882448E-2</v>
      </c>
      <c r="P8" s="3">
        <v>51.59</v>
      </c>
      <c r="Q8" s="7">
        <f t="shared" si="7"/>
        <v>3.3660589060308777E-2</v>
      </c>
      <c r="R8" s="3">
        <v>8.58</v>
      </c>
      <c r="S8" s="7">
        <f t="shared" si="8"/>
        <v>4.6341463414634188E-2</v>
      </c>
      <c r="T8" s="3">
        <v>73.25</v>
      </c>
      <c r="U8" s="7">
        <f t="shared" si="9"/>
        <v>4.5980309095820404E-2</v>
      </c>
      <c r="V8" s="3">
        <v>47.990001999999997</v>
      </c>
      <c r="W8" s="7">
        <f t="shared" si="10"/>
        <v>5.3798878924047555E-2</v>
      </c>
      <c r="X8" s="3">
        <v>146.78999300000001</v>
      </c>
      <c r="Y8" s="7">
        <f t="shared" si="11"/>
        <v>4.7915464382652928E-3</v>
      </c>
      <c r="Z8" s="3">
        <v>126.019997</v>
      </c>
      <c r="AA8" s="7">
        <f t="shared" si="12"/>
        <v>1.4245448692153051E-2</v>
      </c>
      <c r="AB8" s="3">
        <v>8.36</v>
      </c>
      <c r="AC8" s="7">
        <f t="shared" si="13"/>
        <v>3.082614056720101E-2</v>
      </c>
      <c r="AD8" s="3">
        <v>68.231356000000005</v>
      </c>
      <c r="AE8" s="7">
        <f t="shared" si="14"/>
        <v>2.6248980953360146E-2</v>
      </c>
      <c r="AF8" s="3">
        <v>71.099997999999999</v>
      </c>
      <c r="AG8" s="7">
        <f t="shared" si="15"/>
        <v>1.877055425174734E-2</v>
      </c>
      <c r="AH8" s="3">
        <v>12.84</v>
      </c>
      <c r="AI8" s="7">
        <f t="shared" si="16"/>
        <v>9.0909090909090828E-2</v>
      </c>
      <c r="AJ8" s="3">
        <v>86.25</v>
      </c>
      <c r="AK8" s="7">
        <f t="shared" si="17"/>
        <v>1.1018661611034153E-2</v>
      </c>
      <c r="AL8" s="3">
        <v>11.32</v>
      </c>
      <c r="AM8" s="7">
        <f t="shared" si="18"/>
        <v>-9.6237970253717497E-3</v>
      </c>
      <c r="AN8" s="3">
        <v>0.24</v>
      </c>
      <c r="AO8" s="7">
        <f t="shared" si="19"/>
        <v>9.0909090909090828E-2</v>
      </c>
      <c r="AP8" s="3">
        <v>8.8000000000000007</v>
      </c>
      <c r="AQ8" s="7">
        <f t="shared" si="20"/>
        <v>5.7692307692307709E-2</v>
      </c>
    </row>
    <row r="9" spans="1:43" x14ac:dyDescent="0.3">
      <c r="A9" s="4">
        <v>42682</v>
      </c>
      <c r="B9" s="3">
        <v>18332.740234000001</v>
      </c>
      <c r="C9" s="7">
        <f t="shared" si="0"/>
        <v>4.0055985107114722E-3</v>
      </c>
      <c r="D9" s="3">
        <v>111.05999799999999</v>
      </c>
      <c r="E9" s="7">
        <f t="shared" si="1"/>
        <v>5.8870933470847042E-3</v>
      </c>
      <c r="F9" s="3">
        <v>108.389999</v>
      </c>
      <c r="G9" s="7">
        <f t="shared" si="2"/>
        <v>-2.4848609429464208E-3</v>
      </c>
      <c r="H9" s="3">
        <v>60.470001000000003</v>
      </c>
      <c r="I9" s="7">
        <f t="shared" si="3"/>
        <v>8.2759022931444548E-4</v>
      </c>
      <c r="J9" s="3">
        <v>39.130001</v>
      </c>
      <c r="K9" s="7">
        <f t="shared" si="4"/>
        <v>1.0233051931438641E-3</v>
      </c>
      <c r="L9" s="3">
        <v>86.459998999999996</v>
      </c>
      <c r="M9" s="7">
        <f t="shared" si="5"/>
        <v>-2.8831738309672561E-3</v>
      </c>
      <c r="N9" s="3">
        <v>17</v>
      </c>
      <c r="O9" s="7">
        <f t="shared" si="6"/>
        <v>-5.8788947677845815E-4</v>
      </c>
      <c r="P9" s="3">
        <v>49.91</v>
      </c>
      <c r="Q9" s="7">
        <f t="shared" si="7"/>
        <v>1.8065034122840551E-3</v>
      </c>
      <c r="R9" s="3">
        <v>8.1999999999999993</v>
      </c>
      <c r="S9" s="7">
        <f t="shared" si="8"/>
        <v>-4.8723897911832958E-2</v>
      </c>
      <c r="T9" s="3">
        <v>70.029999000000004</v>
      </c>
      <c r="U9" s="7">
        <f t="shared" si="9"/>
        <v>2.1465656330810212E-3</v>
      </c>
      <c r="V9" s="3">
        <v>45.540000999999997</v>
      </c>
      <c r="W9" s="7">
        <f t="shared" si="10"/>
        <v>3.0836782782519556E-3</v>
      </c>
      <c r="X9" s="3">
        <v>146.08999600000001</v>
      </c>
      <c r="Y9" s="7">
        <f t="shared" si="11"/>
        <v>1.7765104670166787E-2</v>
      </c>
      <c r="Z9" s="3">
        <v>124.25</v>
      </c>
      <c r="AA9" s="7">
        <f t="shared" si="12"/>
        <v>4.0404040404040664E-3</v>
      </c>
      <c r="AB9" s="3">
        <v>8.11</v>
      </c>
      <c r="AC9" s="7">
        <f t="shared" si="13"/>
        <v>-2.2891566265060392E-2</v>
      </c>
      <c r="AD9" s="3">
        <v>66.486161999999993</v>
      </c>
      <c r="AE9" s="7">
        <f t="shared" si="14"/>
        <v>-7.1078841723068997E-3</v>
      </c>
      <c r="AF9" s="3">
        <v>69.790001000000004</v>
      </c>
      <c r="AG9" s="7">
        <f t="shared" si="15"/>
        <v>1.4333620153816895E-4</v>
      </c>
      <c r="AH9" s="3">
        <v>11.77</v>
      </c>
      <c r="AI9" s="7">
        <f t="shared" si="16"/>
        <v>-2.4855012427506318E-2</v>
      </c>
      <c r="AJ9" s="3">
        <v>85.309997999999993</v>
      </c>
      <c r="AK9" s="7">
        <f t="shared" si="17"/>
        <v>7.2019248643402367E-3</v>
      </c>
      <c r="AL9" s="3">
        <v>11.43</v>
      </c>
      <c r="AM9" s="7">
        <f t="shared" si="18"/>
        <v>2.6315789473683182E-3</v>
      </c>
      <c r="AN9" s="3">
        <v>0.22</v>
      </c>
      <c r="AO9" s="7">
        <f t="shared" si="19"/>
        <v>-4.3478260869565299E-2</v>
      </c>
      <c r="AP9" s="3">
        <v>8.32</v>
      </c>
      <c r="AQ9" s="7">
        <f t="shared" si="20"/>
        <v>4.8309178743961567E-3</v>
      </c>
    </row>
    <row r="10" spans="1:43" x14ac:dyDescent="0.3">
      <c r="A10" s="4">
        <v>42681</v>
      </c>
      <c r="B10" s="3">
        <v>18259.599609000001</v>
      </c>
      <c r="C10" s="7">
        <f t="shared" si="0"/>
        <v>2.075774342713177E-2</v>
      </c>
      <c r="D10" s="3">
        <v>110.410004</v>
      </c>
      <c r="E10" s="7">
        <f t="shared" si="1"/>
        <v>1.4424917839945595E-2</v>
      </c>
      <c r="F10" s="3">
        <v>108.660004</v>
      </c>
      <c r="G10" s="7">
        <f t="shared" si="2"/>
        <v>2.3163908375628317E-2</v>
      </c>
      <c r="H10" s="3">
        <v>60.419998</v>
      </c>
      <c r="I10" s="7">
        <f t="shared" si="3"/>
        <v>2.9126197055462377E-2</v>
      </c>
      <c r="J10" s="3">
        <v>39.090000000000003</v>
      </c>
      <c r="K10" s="7">
        <f t="shared" si="4"/>
        <v>2.1159901284219185E-2</v>
      </c>
      <c r="L10" s="3">
        <v>86.709998999999996</v>
      </c>
      <c r="M10" s="7">
        <f t="shared" si="5"/>
        <v>1.5934399904731E-2</v>
      </c>
      <c r="N10" s="3">
        <v>17.010000000000002</v>
      </c>
      <c r="O10" s="7">
        <f t="shared" si="6"/>
        <v>2.7794624035929028E-2</v>
      </c>
      <c r="P10" s="3">
        <v>49.82</v>
      </c>
      <c r="Q10" s="7">
        <f t="shared" si="7"/>
        <v>3.425372780791891E-2</v>
      </c>
      <c r="R10" s="3">
        <v>8.6199999999999992</v>
      </c>
      <c r="S10" s="7">
        <f t="shared" si="8"/>
        <v>6.5512978986402848E-2</v>
      </c>
      <c r="T10" s="3">
        <v>69.879997000000003</v>
      </c>
      <c r="U10" s="7">
        <f t="shared" si="9"/>
        <v>3.1286820209952326E-2</v>
      </c>
      <c r="V10" s="3">
        <v>45.400002000000001</v>
      </c>
      <c r="W10" s="7">
        <f t="shared" si="10"/>
        <v>1.793731022140399E-2</v>
      </c>
      <c r="X10" s="3">
        <v>143.53999300000001</v>
      </c>
      <c r="Y10" s="7">
        <f t="shared" si="11"/>
        <v>9.1393978789582331E-3</v>
      </c>
      <c r="Z10" s="3">
        <v>123.75</v>
      </c>
      <c r="AA10" s="7">
        <f t="shared" si="12"/>
        <v>2.3488511339392559E-2</v>
      </c>
      <c r="AB10" s="3">
        <v>8.3000000000000007</v>
      </c>
      <c r="AC10" s="7">
        <f t="shared" si="13"/>
        <v>1.2195121951219745E-2</v>
      </c>
      <c r="AD10" s="3">
        <v>66.962120999999996</v>
      </c>
      <c r="AE10" s="7">
        <f t="shared" si="14"/>
        <v>1.5030802162256496E-2</v>
      </c>
      <c r="AF10" s="3">
        <v>69.779999000000004</v>
      </c>
      <c r="AG10" s="7">
        <f t="shared" si="15"/>
        <v>8.9646466764230492E-3</v>
      </c>
      <c r="AH10" s="3">
        <v>12.07</v>
      </c>
      <c r="AI10" s="7">
        <f t="shared" si="16"/>
        <v>3.7833190025795327E-2</v>
      </c>
      <c r="AJ10" s="3">
        <v>84.699995000000001</v>
      </c>
      <c r="AK10" s="7">
        <f t="shared" si="17"/>
        <v>2.249607386232011E-2</v>
      </c>
      <c r="AL10" s="3">
        <v>11.4</v>
      </c>
      <c r="AM10" s="7">
        <f t="shared" si="18"/>
        <v>7.2436500470366871E-2</v>
      </c>
      <c r="AN10" s="3">
        <v>0.23</v>
      </c>
      <c r="AO10" s="7">
        <f t="shared" si="19"/>
        <v>0</v>
      </c>
      <c r="AP10" s="3">
        <v>8.2799999999999994</v>
      </c>
      <c r="AQ10" s="7">
        <f t="shared" si="20"/>
        <v>3.3707865168539186E-2</v>
      </c>
    </row>
    <row r="11" spans="1:43" x14ac:dyDescent="0.3">
      <c r="A11" s="4">
        <v>42678</v>
      </c>
      <c r="B11" s="3">
        <v>17888.279297000001</v>
      </c>
      <c r="C11" s="7">
        <f t="shared" si="0"/>
        <v>-2.3641406140653132E-3</v>
      </c>
      <c r="D11" s="3">
        <v>108.839996</v>
      </c>
      <c r="E11" s="7">
        <f t="shared" si="1"/>
        <v>-9.0139850857873238E-3</v>
      </c>
      <c r="F11" s="3">
        <v>106.199997</v>
      </c>
      <c r="G11" s="7">
        <f t="shared" si="2"/>
        <v>-9.0510499029775593E-3</v>
      </c>
      <c r="H11" s="3">
        <v>58.709999000000003</v>
      </c>
      <c r="I11" s="7">
        <f t="shared" si="3"/>
        <v>-8.444519649459914E-3</v>
      </c>
      <c r="J11" s="3">
        <v>38.279998999999997</v>
      </c>
      <c r="K11" s="7">
        <f t="shared" si="4"/>
        <v>-7.831375415522368E-4</v>
      </c>
      <c r="L11" s="3">
        <v>85.349997999999999</v>
      </c>
      <c r="M11" s="7">
        <f t="shared" si="5"/>
        <v>7.5551765736652232E-3</v>
      </c>
      <c r="N11" s="3">
        <v>16.549999</v>
      </c>
      <c r="O11" s="7">
        <f t="shared" si="6"/>
        <v>4.2475121359222268E-3</v>
      </c>
      <c r="P11" s="3">
        <v>48.169998</v>
      </c>
      <c r="Q11" s="7">
        <f t="shared" si="7"/>
        <v>-4.1504462367802919E-4</v>
      </c>
      <c r="R11" s="3">
        <v>8.09</v>
      </c>
      <c r="S11" s="7">
        <f t="shared" si="8"/>
        <v>-6.1425061425062211E-3</v>
      </c>
      <c r="T11" s="3">
        <v>67.760002</v>
      </c>
      <c r="U11" s="7">
        <f t="shared" si="9"/>
        <v>-9.0669059257197926E-3</v>
      </c>
      <c r="V11" s="3">
        <v>44.599997999999999</v>
      </c>
      <c r="W11" s="7">
        <f t="shared" si="10"/>
        <v>-1.6321173356859342E-2</v>
      </c>
      <c r="X11" s="3">
        <v>142.240005</v>
      </c>
      <c r="Y11" s="7">
        <f t="shared" si="11"/>
        <v>-1.5299356496352168E-2</v>
      </c>
      <c r="Z11" s="3">
        <v>120.910004</v>
      </c>
      <c r="AA11" s="7">
        <f t="shared" si="12"/>
        <v>6.074255283740948E-3</v>
      </c>
      <c r="AB11" s="3">
        <v>8.1999999999999993</v>
      </c>
      <c r="AC11" s="7">
        <f t="shared" si="13"/>
        <v>-4.8543689320389438E-3</v>
      </c>
      <c r="AD11" s="3">
        <v>65.970530999999994</v>
      </c>
      <c r="AE11" s="7">
        <f t="shared" si="14"/>
        <v>-2.0998844142371409E-3</v>
      </c>
      <c r="AF11" s="3">
        <v>69.160004000000001</v>
      </c>
      <c r="AG11" s="7">
        <f t="shared" si="15"/>
        <v>-6.7498638553725732E-3</v>
      </c>
      <c r="AH11" s="3">
        <v>11.63</v>
      </c>
      <c r="AI11" s="7">
        <f t="shared" si="16"/>
        <v>0.14131501472031416</v>
      </c>
      <c r="AJ11" s="3">
        <v>82.836499000000003</v>
      </c>
      <c r="AK11" s="7">
        <f t="shared" si="17"/>
        <v>-1.0758303639788469E-3</v>
      </c>
      <c r="AL11" s="3">
        <v>10.63</v>
      </c>
      <c r="AM11" s="7">
        <f t="shared" si="18"/>
        <v>1.8850141376061114E-3</v>
      </c>
      <c r="AN11" s="3">
        <v>0.23</v>
      </c>
      <c r="AO11" s="7">
        <f t="shared" si="19"/>
        <v>4.5454545454545414E-2</v>
      </c>
      <c r="AP11" s="3">
        <v>8.01</v>
      </c>
      <c r="AQ11" s="7">
        <f t="shared" si="20"/>
        <v>-1.8382352941176516E-2</v>
      </c>
    </row>
    <row r="12" spans="1:43" x14ac:dyDescent="0.3">
      <c r="A12" s="4">
        <v>42677</v>
      </c>
      <c r="B12" s="3">
        <v>17930.669922000001</v>
      </c>
      <c r="C12" s="7">
        <f t="shared" si="0"/>
        <v>-1.6131003734936034E-3</v>
      </c>
      <c r="D12" s="3">
        <v>109.83000199999999</v>
      </c>
      <c r="E12" s="7">
        <f t="shared" si="1"/>
        <v>-1.0718726838350179E-2</v>
      </c>
      <c r="F12" s="3">
        <v>107.16999800000001</v>
      </c>
      <c r="G12" s="7">
        <f t="shared" si="2"/>
        <v>1.2088006535914797E-2</v>
      </c>
      <c r="H12" s="3">
        <v>59.209999000000003</v>
      </c>
      <c r="I12" s="7">
        <f t="shared" si="3"/>
        <v>-3.7018509170452241E-3</v>
      </c>
      <c r="J12" s="3">
        <v>38.310001</v>
      </c>
      <c r="K12" s="7">
        <f t="shared" si="4"/>
        <v>7.3626612506616507E-3</v>
      </c>
      <c r="L12" s="3">
        <v>84.709998999999996</v>
      </c>
      <c r="M12" s="7">
        <f t="shared" si="5"/>
        <v>-1.5572387603519422E-2</v>
      </c>
      <c r="N12" s="3">
        <v>16.48</v>
      </c>
      <c r="O12" s="7">
        <f t="shared" si="6"/>
        <v>0</v>
      </c>
      <c r="P12" s="3">
        <v>48.189999</v>
      </c>
      <c r="Q12" s="7">
        <f t="shared" si="7"/>
        <v>-3.9272839204778087E-3</v>
      </c>
      <c r="R12" s="3">
        <v>8.14</v>
      </c>
      <c r="S12" s="7">
        <f t="shared" si="8"/>
        <v>-1.2269938650306678E-3</v>
      </c>
      <c r="T12" s="3">
        <v>68.379997000000003</v>
      </c>
      <c r="U12" s="7">
        <f t="shared" si="9"/>
        <v>-4.368127548048939E-3</v>
      </c>
      <c r="V12" s="3">
        <v>45.34</v>
      </c>
      <c r="W12" s="7">
        <f t="shared" si="10"/>
        <v>2.2103889385329811E-3</v>
      </c>
      <c r="X12" s="3">
        <v>144.449997</v>
      </c>
      <c r="Y12" s="7">
        <f t="shared" si="11"/>
        <v>-1.2442790389203817E-2</v>
      </c>
      <c r="Z12" s="3">
        <v>120.18</v>
      </c>
      <c r="AA12" s="7">
        <f t="shared" si="12"/>
        <v>-9.1446503521097622E-4</v>
      </c>
      <c r="AB12" s="3">
        <v>8.24</v>
      </c>
      <c r="AC12" s="7">
        <f t="shared" si="13"/>
        <v>-2.0214030915576719E-2</v>
      </c>
      <c r="AD12" s="3">
        <v>66.109352999999999</v>
      </c>
      <c r="AE12" s="7">
        <f t="shared" si="14"/>
        <v>-2.329334465187527E-2</v>
      </c>
      <c r="AF12" s="3">
        <v>69.629997000000003</v>
      </c>
      <c r="AG12" s="7">
        <f t="shared" si="15"/>
        <v>2.5917927685441544E-3</v>
      </c>
      <c r="AH12" s="3">
        <v>10.19</v>
      </c>
      <c r="AI12" s="7">
        <f t="shared" si="16"/>
        <v>1.3930348258706315E-2</v>
      </c>
      <c r="AJ12" s="3">
        <v>82.925713000000002</v>
      </c>
      <c r="AK12" s="7">
        <f t="shared" si="17"/>
        <v>2.5165639276860663E-3</v>
      </c>
      <c r="AL12" s="3">
        <v>10.61</v>
      </c>
      <c r="AM12" s="7">
        <f t="shared" si="18"/>
        <v>-1.1183597390494016E-2</v>
      </c>
      <c r="AN12" s="3">
        <v>0.22</v>
      </c>
      <c r="AO12" s="7">
        <f t="shared" si="19"/>
        <v>-4.3478260869565299E-2</v>
      </c>
      <c r="AP12" s="3">
        <v>8.16</v>
      </c>
      <c r="AQ12" s="7">
        <f t="shared" si="20"/>
        <v>8.6526576019778645E-3</v>
      </c>
    </row>
    <row r="13" spans="1:43" x14ac:dyDescent="0.3">
      <c r="A13" s="4">
        <v>42676</v>
      </c>
      <c r="B13" s="3">
        <v>17959.640625</v>
      </c>
      <c r="C13" s="7">
        <f t="shared" si="0"/>
        <v>-4.294425693660342E-3</v>
      </c>
      <c r="D13" s="3">
        <v>111.01999499999999</v>
      </c>
      <c r="E13" s="7">
        <f t="shared" si="1"/>
        <v>8.9693062798557044E-4</v>
      </c>
      <c r="F13" s="3">
        <v>105.889999</v>
      </c>
      <c r="G13" s="7">
        <f t="shared" si="2"/>
        <v>-9.1700568212765843E-3</v>
      </c>
      <c r="H13" s="3">
        <v>59.43</v>
      </c>
      <c r="I13" s="7">
        <f t="shared" si="3"/>
        <v>-6.1872743509577832E-3</v>
      </c>
      <c r="J13" s="3">
        <v>38.029998999999997</v>
      </c>
      <c r="K13" s="7">
        <f t="shared" si="4"/>
        <v>-1.1180447508592151E-2</v>
      </c>
      <c r="L13" s="3">
        <v>86.050003000000004</v>
      </c>
      <c r="M13" s="7">
        <f t="shared" si="5"/>
        <v>-2.8968712782083683E-3</v>
      </c>
      <c r="N13" s="3">
        <v>16.48</v>
      </c>
      <c r="O13" s="7">
        <f t="shared" si="6"/>
        <v>-7.8266702091107643E-3</v>
      </c>
      <c r="P13" s="3">
        <v>48.380001</v>
      </c>
      <c r="Q13" s="7">
        <f t="shared" si="7"/>
        <v>-8.1732223996221487E-3</v>
      </c>
      <c r="R13" s="3">
        <v>8.15</v>
      </c>
      <c r="S13" s="7">
        <f t="shared" si="8"/>
        <v>-1.9253910950661868E-2</v>
      </c>
      <c r="T13" s="3">
        <v>68.680000000000007</v>
      </c>
      <c r="U13" s="7">
        <f t="shared" si="9"/>
        <v>-4.2047411308575589E-3</v>
      </c>
      <c r="V13" s="3">
        <v>45.240001999999997</v>
      </c>
      <c r="W13" s="7">
        <f t="shared" si="10"/>
        <v>-8.1122122341592551E-3</v>
      </c>
      <c r="X13" s="3">
        <v>146.270004</v>
      </c>
      <c r="Y13" s="7">
        <f t="shared" si="11"/>
        <v>4.1037547889244408E-4</v>
      </c>
      <c r="Z13" s="3">
        <v>120.290001</v>
      </c>
      <c r="AA13" s="7">
        <f t="shared" si="12"/>
        <v>3.3364084021720863E-3</v>
      </c>
      <c r="AB13" s="3">
        <v>8.41</v>
      </c>
      <c r="AC13" s="7">
        <f t="shared" si="13"/>
        <v>-8.2547169811321153E-3</v>
      </c>
      <c r="AD13" s="3">
        <v>67.685986</v>
      </c>
      <c r="AE13" s="7">
        <f t="shared" si="14"/>
        <v>7.0817864223486904E-3</v>
      </c>
      <c r="AF13" s="3">
        <v>69.449996999999996</v>
      </c>
      <c r="AG13" s="7">
        <f t="shared" si="15"/>
        <v>2.1644154907178859E-3</v>
      </c>
      <c r="AH13" s="3">
        <v>10.050000000000001</v>
      </c>
      <c r="AI13" s="7">
        <f t="shared" si="16"/>
        <v>0</v>
      </c>
      <c r="AJ13" s="3">
        <v>82.717549000000005</v>
      </c>
      <c r="AK13" s="7">
        <f t="shared" si="17"/>
        <v>-2.3909797938508337E-3</v>
      </c>
      <c r="AL13" s="3">
        <v>10.73</v>
      </c>
      <c r="AM13" s="7">
        <f t="shared" si="18"/>
        <v>-3.2461677186654603E-2</v>
      </c>
      <c r="AN13" s="3">
        <v>0.23</v>
      </c>
      <c r="AO13" s="7">
        <f t="shared" si="19"/>
        <v>0</v>
      </c>
      <c r="AP13" s="3">
        <v>8.09</v>
      </c>
      <c r="AQ13" s="7">
        <f t="shared" si="20"/>
        <v>-2.7644230769230838E-2</v>
      </c>
    </row>
    <row r="14" spans="1:43" x14ac:dyDescent="0.3">
      <c r="A14" s="4">
        <v>42675</v>
      </c>
      <c r="B14" s="3">
        <v>18037.099609000001</v>
      </c>
      <c r="C14" s="7">
        <f t="shared" si="0"/>
        <v>-5.805196520244027E-3</v>
      </c>
      <c r="D14" s="3">
        <v>110.920507</v>
      </c>
      <c r="E14" s="7">
        <f t="shared" si="1"/>
        <v>-1.8055340791799823E-2</v>
      </c>
      <c r="F14" s="3">
        <v>106.870003</v>
      </c>
      <c r="G14" s="7">
        <f t="shared" si="2"/>
        <v>-5.9529251985317444E-3</v>
      </c>
      <c r="H14" s="3">
        <v>59.799999</v>
      </c>
      <c r="I14" s="7">
        <f t="shared" si="3"/>
        <v>-2.0026536048949328E-3</v>
      </c>
      <c r="J14" s="3">
        <v>38.459999000000003</v>
      </c>
      <c r="K14" s="7">
        <f t="shared" si="4"/>
        <v>1.0411504966763019E-3</v>
      </c>
      <c r="L14" s="3">
        <v>86.300003000000004</v>
      </c>
      <c r="M14" s="7">
        <f t="shared" si="5"/>
        <v>-1.7531797246438829E-2</v>
      </c>
      <c r="N14" s="3">
        <v>16.610001</v>
      </c>
      <c r="O14" s="7">
        <f t="shared" si="6"/>
        <v>6.6667272727272131E-3</v>
      </c>
      <c r="P14" s="3">
        <v>48.778680000000001</v>
      </c>
      <c r="Q14" s="7">
        <f t="shared" si="7"/>
        <v>-4.2727002215706689E-3</v>
      </c>
      <c r="R14" s="3">
        <v>8.31</v>
      </c>
      <c r="S14" s="7">
        <f t="shared" si="8"/>
        <v>2.4125452352232735E-3</v>
      </c>
      <c r="T14" s="3">
        <v>68.970000999999996</v>
      </c>
      <c r="U14" s="7">
        <f t="shared" si="9"/>
        <v>-4.187135310796064E-3</v>
      </c>
      <c r="V14" s="3">
        <v>45.61</v>
      </c>
      <c r="W14" s="7">
        <f t="shared" si="10"/>
        <v>-4.3462794252668857E-4</v>
      </c>
      <c r="X14" s="3">
        <v>146.210003</v>
      </c>
      <c r="Y14" s="7">
        <f t="shared" si="11"/>
        <v>-8.1828003787450809E-3</v>
      </c>
      <c r="Z14" s="3">
        <v>119.889999</v>
      </c>
      <c r="AA14" s="7">
        <f t="shared" si="12"/>
        <v>-1.7375649252099779E-2</v>
      </c>
      <c r="AB14" s="3">
        <v>8.48</v>
      </c>
      <c r="AC14" s="7">
        <f t="shared" si="13"/>
        <v>-1.2805587892898651E-2</v>
      </c>
      <c r="AD14" s="3">
        <v>67.210019000000003</v>
      </c>
      <c r="AE14" s="7">
        <f t="shared" si="14"/>
        <v>-1.3822272511745171E-2</v>
      </c>
      <c r="AF14" s="3">
        <v>69.300003000000004</v>
      </c>
      <c r="AG14" s="7">
        <f t="shared" si="15"/>
        <v>-1.0282691100372388E-2</v>
      </c>
      <c r="AH14" s="3">
        <v>10.050000000000001</v>
      </c>
      <c r="AI14" s="7">
        <f t="shared" si="16"/>
        <v>3.9960039960040827E-3</v>
      </c>
      <c r="AJ14" s="3">
        <v>82.915799000000007</v>
      </c>
      <c r="AK14" s="7">
        <f t="shared" si="17"/>
        <v>3.9606632350992488E-3</v>
      </c>
      <c r="AL14" s="3">
        <v>11.09</v>
      </c>
      <c r="AM14" s="7">
        <f t="shared" si="18"/>
        <v>-4.9700085689802886E-2</v>
      </c>
      <c r="AN14" s="3">
        <v>0.23</v>
      </c>
      <c r="AO14" s="7">
        <f t="shared" si="19"/>
        <v>0</v>
      </c>
      <c r="AP14" s="3">
        <v>8.32</v>
      </c>
      <c r="AQ14" s="7">
        <f t="shared" si="20"/>
        <v>9.7087378640776656E-3</v>
      </c>
    </row>
    <row r="15" spans="1:43" x14ac:dyDescent="0.3">
      <c r="A15" s="4">
        <v>42674</v>
      </c>
      <c r="B15" s="3">
        <v>18142.419922000001</v>
      </c>
      <c r="C15" s="7">
        <f t="shared" si="0"/>
        <v>-1.033496789875632E-3</v>
      </c>
      <c r="D15" s="3">
        <v>112.96003899999999</v>
      </c>
      <c r="E15" s="7">
        <f t="shared" si="1"/>
        <v>-1.5828388978101904E-3</v>
      </c>
      <c r="F15" s="3">
        <v>107.510002</v>
      </c>
      <c r="G15" s="7">
        <f t="shared" si="2"/>
        <v>-8.3639406759095092E-4</v>
      </c>
      <c r="H15" s="3">
        <v>59.919998</v>
      </c>
      <c r="I15" s="7">
        <f t="shared" si="3"/>
        <v>8.3512612051328539E-4</v>
      </c>
      <c r="J15" s="3">
        <v>38.419998</v>
      </c>
      <c r="K15" s="7">
        <f t="shared" si="4"/>
        <v>6.5496466622816385E-3</v>
      </c>
      <c r="L15" s="3">
        <v>87.839995999999999</v>
      </c>
      <c r="M15" s="7">
        <f t="shared" si="5"/>
        <v>-5.6892707439903933E-4</v>
      </c>
      <c r="N15" s="3">
        <v>16.5</v>
      </c>
      <c r="O15" s="7">
        <f t="shared" si="6"/>
        <v>-1.0791366906474753E-2</v>
      </c>
      <c r="P15" s="3">
        <v>48.987991000000001</v>
      </c>
      <c r="Q15" s="7">
        <f t="shared" si="7"/>
        <v>-8.2727895717763511E-3</v>
      </c>
      <c r="R15" s="3">
        <v>8.2899999999999991</v>
      </c>
      <c r="S15" s="7">
        <f t="shared" si="8"/>
        <v>-7.1856287425150489E-3</v>
      </c>
      <c r="T15" s="3">
        <v>69.260002</v>
      </c>
      <c r="U15" s="7">
        <f t="shared" si="9"/>
        <v>2.1704673394520313E-3</v>
      </c>
      <c r="V15" s="3">
        <v>45.629832</v>
      </c>
      <c r="W15" s="7">
        <f t="shared" si="10"/>
        <v>-4.7588319799667378E-3</v>
      </c>
      <c r="X15" s="3">
        <v>147.416281</v>
      </c>
      <c r="Y15" s="7">
        <f t="shared" si="11"/>
        <v>-1.2620193684304337E-2</v>
      </c>
      <c r="Z15" s="3">
        <v>122.010002</v>
      </c>
      <c r="AA15" s="7">
        <f t="shared" si="12"/>
        <v>-1.2704320881949727E-2</v>
      </c>
      <c r="AB15" s="3">
        <v>8.59</v>
      </c>
      <c r="AC15" s="7">
        <f t="shared" si="13"/>
        <v>1.297169811320753E-2</v>
      </c>
      <c r="AD15" s="3">
        <v>68.152034999999998</v>
      </c>
      <c r="AE15" s="7">
        <f t="shared" si="14"/>
        <v>-1.4528244429783399E-3</v>
      </c>
      <c r="AF15" s="3">
        <v>70.019997000000004</v>
      </c>
      <c r="AG15" s="7">
        <f t="shared" si="15"/>
        <v>4.286183863013715E-4</v>
      </c>
      <c r="AH15" s="3">
        <v>10.01</v>
      </c>
      <c r="AI15" s="7">
        <f t="shared" si="16"/>
        <v>-1.5732546705997996E-2</v>
      </c>
      <c r="AJ15" s="3">
        <v>82.588693000000006</v>
      </c>
      <c r="AK15" s="7">
        <f t="shared" si="17"/>
        <v>-1.7221037424039132E-2</v>
      </c>
      <c r="AL15" s="3">
        <v>11.67</v>
      </c>
      <c r="AM15" s="7">
        <f t="shared" si="18"/>
        <v>-1.6849199663015901E-2</v>
      </c>
      <c r="AN15" s="3">
        <v>0.23</v>
      </c>
      <c r="AO15" s="7">
        <f t="shared" si="19"/>
        <v>-4.166666666666663E-2</v>
      </c>
      <c r="AP15" s="3">
        <v>8.24</v>
      </c>
      <c r="AQ15" s="7">
        <f t="shared" si="20"/>
        <v>-6.5759637188208653E-2</v>
      </c>
    </row>
    <row r="16" spans="1:43" x14ac:dyDescent="0.3">
      <c r="A16" s="4">
        <v>42671</v>
      </c>
      <c r="B16" s="3">
        <v>18161.189452999999</v>
      </c>
      <c r="C16" s="7">
        <f t="shared" si="0"/>
        <v>-4.672748857321718E-4</v>
      </c>
      <c r="D16" s="3">
        <v>113.13912000000001</v>
      </c>
      <c r="E16" s="7">
        <f t="shared" si="1"/>
        <v>-6.6387322244546576E-3</v>
      </c>
      <c r="F16" s="3">
        <v>107.599998</v>
      </c>
      <c r="G16" s="7">
        <f t="shared" si="2"/>
        <v>4.9500140095264378E-3</v>
      </c>
      <c r="H16" s="3">
        <v>59.869999</v>
      </c>
      <c r="I16" s="7">
        <f t="shared" si="3"/>
        <v>-3.8269385632924147E-3</v>
      </c>
      <c r="J16" s="3">
        <v>38.169998</v>
      </c>
      <c r="K16" s="7">
        <f t="shared" si="4"/>
        <v>-1.3082940526349951E-3</v>
      </c>
      <c r="L16" s="3">
        <v>87.889999000000003</v>
      </c>
      <c r="M16" s="7">
        <f t="shared" si="5"/>
        <v>2.623716512721197E-3</v>
      </c>
      <c r="N16" s="3">
        <v>16.68</v>
      </c>
      <c r="O16" s="7">
        <f t="shared" si="6"/>
        <v>-1.3601419278533422E-2</v>
      </c>
      <c r="P16" s="3">
        <v>49.396639</v>
      </c>
      <c r="Q16" s="7">
        <f t="shared" si="7"/>
        <v>-7.4103466788925099E-3</v>
      </c>
      <c r="R16" s="3">
        <v>8.35</v>
      </c>
      <c r="S16" s="7">
        <f t="shared" si="8"/>
        <v>-8.3135391923990776E-3</v>
      </c>
      <c r="T16" s="3">
        <v>69.110000999999997</v>
      </c>
      <c r="U16" s="7">
        <f t="shared" si="9"/>
        <v>-1.733381406902379E-3</v>
      </c>
      <c r="V16" s="3">
        <v>45.848014999999997</v>
      </c>
      <c r="W16" s="7">
        <f t="shared" si="10"/>
        <v>-3.878480688354391E-3</v>
      </c>
      <c r="X16" s="3">
        <v>149.30048199999999</v>
      </c>
      <c r="Y16" s="7">
        <f t="shared" si="11"/>
        <v>-7.2915694864434943E-3</v>
      </c>
      <c r="Z16" s="3">
        <v>123.58000199999999</v>
      </c>
      <c r="AA16" s="7">
        <f t="shared" si="12"/>
        <v>1.0796662673046464E-2</v>
      </c>
      <c r="AB16" s="3">
        <v>8.48</v>
      </c>
      <c r="AC16" s="7">
        <f t="shared" si="13"/>
        <v>2.0457280385078214E-2</v>
      </c>
      <c r="AD16" s="3">
        <v>68.251192000000003</v>
      </c>
      <c r="AE16" s="7">
        <f t="shared" si="14"/>
        <v>1.7894101728096024E-2</v>
      </c>
      <c r="AF16" s="3">
        <v>69.989998</v>
      </c>
      <c r="AG16" s="7">
        <f t="shared" si="15"/>
        <v>2.2912214723982416E-3</v>
      </c>
      <c r="AH16" s="3">
        <v>10.17</v>
      </c>
      <c r="AI16" s="7">
        <f t="shared" si="16"/>
        <v>-4.5966228893058125E-2</v>
      </c>
      <c r="AJ16" s="3">
        <v>84.035877999999997</v>
      </c>
      <c r="AK16" s="7">
        <f t="shared" si="17"/>
        <v>-2.4620329000418772E-2</v>
      </c>
      <c r="AL16" s="3">
        <v>11.87</v>
      </c>
      <c r="AM16" s="7">
        <f t="shared" si="18"/>
        <v>-1.7384105960264962E-2</v>
      </c>
      <c r="AN16" s="3">
        <v>0.24</v>
      </c>
      <c r="AO16" s="7">
        <f t="shared" si="19"/>
        <v>-4.0000000000000036E-2</v>
      </c>
      <c r="AP16" s="3">
        <v>8.82</v>
      </c>
      <c r="AQ16" s="7">
        <f t="shared" si="20"/>
        <v>1.0309278350515427E-2</v>
      </c>
    </row>
    <row r="17" spans="1:43" x14ac:dyDescent="0.3">
      <c r="A17" s="4">
        <v>42670</v>
      </c>
      <c r="B17" s="3">
        <v>18169.679688</v>
      </c>
      <c r="C17" s="7">
        <f t="shared" si="0"/>
        <v>-1.6292022768377157E-3</v>
      </c>
      <c r="D17" s="3">
        <v>113.89524</v>
      </c>
      <c r="E17" s="7">
        <f t="shared" si="1"/>
        <v>-9.6028451864638154E-3</v>
      </c>
      <c r="F17" s="3">
        <v>107.07</v>
      </c>
      <c r="G17" s="7">
        <f t="shared" si="2"/>
        <v>-8.3356579759594762E-3</v>
      </c>
      <c r="H17" s="3">
        <v>60.099997999999999</v>
      </c>
      <c r="I17" s="7">
        <f t="shared" si="3"/>
        <v>-8.7415964251756906E-3</v>
      </c>
      <c r="J17" s="3">
        <v>38.220001000000003</v>
      </c>
      <c r="K17" s="7">
        <f t="shared" si="4"/>
        <v>-2.3492560075891733E-3</v>
      </c>
      <c r="L17" s="3">
        <v>87.660004000000001</v>
      </c>
      <c r="M17" s="7">
        <f t="shared" si="5"/>
        <v>-1.1394484699305263E-3</v>
      </c>
      <c r="N17" s="3">
        <v>16.91</v>
      </c>
      <c r="O17" s="7">
        <f t="shared" si="6"/>
        <v>2.3710134931231863E-3</v>
      </c>
      <c r="P17" s="3">
        <v>49.765417999999997</v>
      </c>
      <c r="Q17" s="7">
        <f t="shared" si="7"/>
        <v>-1.5996540325596831E-3</v>
      </c>
      <c r="R17" s="3">
        <v>8.42</v>
      </c>
      <c r="S17" s="7">
        <f t="shared" si="8"/>
        <v>2.3809523809523725E-3</v>
      </c>
      <c r="T17" s="3">
        <v>69.230002999999996</v>
      </c>
      <c r="U17" s="7">
        <f t="shared" si="9"/>
        <v>1.4466368340793068E-3</v>
      </c>
      <c r="V17" s="3">
        <v>46.026527999999999</v>
      </c>
      <c r="W17" s="7">
        <f t="shared" si="10"/>
        <v>5.6337655197293834E-3</v>
      </c>
      <c r="X17" s="3">
        <v>150.39711299999999</v>
      </c>
      <c r="Y17" s="7">
        <f t="shared" si="11"/>
        <v>-7.9477538511674162E-4</v>
      </c>
      <c r="Z17" s="3">
        <v>122.260002</v>
      </c>
      <c r="AA17" s="7">
        <f t="shared" si="12"/>
        <v>-3.667158370688206E-3</v>
      </c>
      <c r="AB17" s="3">
        <v>8.31</v>
      </c>
      <c r="AC17" s="7">
        <f t="shared" si="13"/>
        <v>-1.189060642092743E-2</v>
      </c>
      <c r="AD17" s="3">
        <v>67.051367999999997</v>
      </c>
      <c r="AE17" s="7">
        <f t="shared" si="14"/>
        <v>-1.4141915529491733E-2</v>
      </c>
      <c r="AF17" s="3">
        <v>69.830001999999993</v>
      </c>
      <c r="AG17" s="7">
        <f t="shared" si="15"/>
        <v>3.4488577927205277E-3</v>
      </c>
      <c r="AH17" s="3">
        <v>10.66</v>
      </c>
      <c r="AI17" s="7">
        <f t="shared" si="16"/>
        <v>-2.0220588235294157E-2</v>
      </c>
      <c r="AJ17" s="3">
        <v>86.157094000000001</v>
      </c>
      <c r="AK17" s="7">
        <f t="shared" si="17"/>
        <v>-1.9519817991417998E-3</v>
      </c>
      <c r="AL17" s="3">
        <v>12.08</v>
      </c>
      <c r="AM17" s="7">
        <f t="shared" si="18"/>
        <v>-6.5789473684210176E-3</v>
      </c>
      <c r="AN17" s="3">
        <v>0.25</v>
      </c>
      <c r="AO17" s="7">
        <f t="shared" si="19"/>
        <v>0</v>
      </c>
      <c r="AP17" s="3">
        <v>8.73</v>
      </c>
      <c r="AQ17" s="7">
        <f t="shared" si="20"/>
        <v>5.5622732769044836E-2</v>
      </c>
    </row>
    <row r="18" spans="1:43" x14ac:dyDescent="0.3">
      <c r="A18" s="4">
        <v>42669</v>
      </c>
      <c r="B18" s="3">
        <v>18199.330077999999</v>
      </c>
      <c r="C18" s="7">
        <f t="shared" si="0"/>
        <v>1.6544719615012582E-3</v>
      </c>
      <c r="D18" s="3">
        <v>114.99956299999999</v>
      </c>
      <c r="E18" s="7">
        <f t="shared" si="1"/>
        <v>-2.2494742467993767E-2</v>
      </c>
      <c r="F18" s="3">
        <v>107.970001</v>
      </c>
      <c r="G18" s="7">
        <f t="shared" si="2"/>
        <v>-9.7220765818772925E-3</v>
      </c>
      <c r="H18" s="3">
        <v>60.630001</v>
      </c>
      <c r="I18" s="7">
        <f t="shared" si="3"/>
        <v>-5.9026231873217094E-3</v>
      </c>
      <c r="J18" s="3">
        <v>38.310001</v>
      </c>
      <c r="K18" s="7">
        <f t="shared" si="4"/>
        <v>-1.3034410504837446E-3</v>
      </c>
      <c r="L18" s="3">
        <v>87.760002</v>
      </c>
      <c r="M18" s="7">
        <f t="shared" si="5"/>
        <v>-6.2280150883934349E-3</v>
      </c>
      <c r="N18" s="3">
        <v>16.870000999999998</v>
      </c>
      <c r="O18" s="7">
        <f t="shared" si="6"/>
        <v>8.9714120198212122E-3</v>
      </c>
      <c r="P18" s="3">
        <v>49.845153000000003</v>
      </c>
      <c r="Q18" s="7">
        <f t="shared" si="7"/>
        <v>8.4694176138855326E-3</v>
      </c>
      <c r="R18" s="3">
        <v>8.4</v>
      </c>
      <c r="S18" s="7">
        <f t="shared" si="8"/>
        <v>-1.6393442622950727E-2</v>
      </c>
      <c r="T18" s="3">
        <v>69.129997000000003</v>
      </c>
      <c r="U18" s="7">
        <f t="shared" si="9"/>
        <v>4.7964242094582499E-3</v>
      </c>
      <c r="V18" s="3">
        <v>45.768678000000001</v>
      </c>
      <c r="W18" s="7">
        <f t="shared" si="10"/>
        <v>9.4050731645738406E-3</v>
      </c>
      <c r="X18" s="3">
        <v>150.51674</v>
      </c>
      <c r="Y18" s="7">
        <f t="shared" si="11"/>
        <v>-6.6293878364653835E-5</v>
      </c>
      <c r="Z18" s="3">
        <v>122.709999</v>
      </c>
      <c r="AA18" s="7">
        <f t="shared" si="12"/>
        <v>-5.1078078517207137E-3</v>
      </c>
      <c r="AB18" s="3">
        <v>8.41</v>
      </c>
      <c r="AC18" s="7">
        <f t="shared" si="13"/>
        <v>4.7789725209081979E-3</v>
      </c>
      <c r="AD18" s="3">
        <v>68.013204999999999</v>
      </c>
      <c r="AE18" s="7">
        <f t="shared" si="14"/>
        <v>9.4186746685758216E-3</v>
      </c>
      <c r="AF18" s="3">
        <v>69.589995999999999</v>
      </c>
      <c r="AG18" s="7">
        <f t="shared" si="15"/>
        <v>3.3159601598045096E-3</v>
      </c>
      <c r="AH18" s="3">
        <v>10.88</v>
      </c>
      <c r="AI18" s="7">
        <f t="shared" si="16"/>
        <v>0</v>
      </c>
      <c r="AJ18" s="3">
        <v>86.325599999999994</v>
      </c>
      <c r="AK18" s="7">
        <f t="shared" si="17"/>
        <v>4.2665413415881037E-3</v>
      </c>
      <c r="AL18" s="3">
        <v>12.16</v>
      </c>
      <c r="AM18" s="7">
        <f t="shared" si="18"/>
        <v>-1.6420361247947435E-3</v>
      </c>
      <c r="AN18" s="3">
        <v>0.25</v>
      </c>
      <c r="AO18" s="7">
        <f t="shared" si="19"/>
        <v>-3.8461538461538547E-2</v>
      </c>
      <c r="AP18" s="3">
        <v>8.27</v>
      </c>
      <c r="AQ18" s="7">
        <f t="shared" si="20"/>
        <v>9.7680097680097333E-3</v>
      </c>
    </row>
    <row r="19" spans="1:43" x14ac:dyDescent="0.3">
      <c r="A19" s="4">
        <v>42668</v>
      </c>
      <c r="B19" s="3">
        <v>18169.269531000002</v>
      </c>
      <c r="C19" s="7">
        <f t="shared" si="0"/>
        <v>-2.950100398996236E-3</v>
      </c>
      <c r="D19" s="3">
        <v>117.645979</v>
      </c>
      <c r="E19" s="7">
        <f t="shared" si="1"/>
        <v>5.099862198790106E-3</v>
      </c>
      <c r="F19" s="3">
        <v>109.029999</v>
      </c>
      <c r="G19" s="7">
        <f t="shared" si="2"/>
        <v>-1.6063523437659377E-2</v>
      </c>
      <c r="H19" s="3">
        <v>60.990001999999997</v>
      </c>
      <c r="I19" s="7">
        <f t="shared" si="3"/>
        <v>-1.6390163934432156E-4</v>
      </c>
      <c r="J19" s="3">
        <v>38.360000999999997</v>
      </c>
      <c r="K19" s="7">
        <f t="shared" si="4"/>
        <v>2.3517376535142631E-3</v>
      </c>
      <c r="L19" s="3">
        <v>88.309997999999993</v>
      </c>
      <c r="M19" s="7">
        <f t="shared" si="5"/>
        <v>-2.264689182278623E-4</v>
      </c>
      <c r="N19" s="3">
        <v>16.719999000000001</v>
      </c>
      <c r="O19" s="7">
        <f t="shared" si="6"/>
        <v>-2.9815742397136802E-3</v>
      </c>
      <c r="P19" s="3">
        <v>49.426538999999998</v>
      </c>
      <c r="Q19" s="7">
        <f t="shared" si="7"/>
        <v>2.0167323217656907E-4</v>
      </c>
      <c r="R19" s="3">
        <v>8.5399999999999991</v>
      </c>
      <c r="S19" s="7">
        <f t="shared" si="8"/>
        <v>-1.8390804597701149E-2</v>
      </c>
      <c r="T19" s="3">
        <v>68.800003000000004</v>
      </c>
      <c r="U19" s="7">
        <f t="shared" si="9"/>
        <v>-1.0164076804235478E-3</v>
      </c>
      <c r="V19" s="3">
        <v>45.342230999999998</v>
      </c>
      <c r="W19" s="7">
        <f t="shared" si="10"/>
        <v>4.3936849650261234E-3</v>
      </c>
      <c r="X19" s="3">
        <v>150.52671900000001</v>
      </c>
      <c r="Y19" s="7">
        <f t="shared" si="11"/>
        <v>-7.4282751398633273E-3</v>
      </c>
      <c r="Z19" s="3">
        <v>123.339996</v>
      </c>
      <c r="AA19" s="7">
        <f t="shared" si="12"/>
        <v>-3.4747245537229965E-2</v>
      </c>
      <c r="AB19" s="3">
        <v>8.3699999999999992</v>
      </c>
      <c r="AC19" s="7">
        <f t="shared" si="13"/>
        <v>-2.219626168224309E-2</v>
      </c>
      <c r="AD19" s="3">
        <v>67.378587999999993</v>
      </c>
      <c r="AE19" s="7">
        <f t="shared" si="14"/>
        <v>-4.5415309455638653E-3</v>
      </c>
      <c r="AF19" s="3">
        <v>69.360000999999997</v>
      </c>
      <c r="AG19" s="7">
        <f t="shared" si="15"/>
        <v>2.4569879330251787E-3</v>
      </c>
      <c r="AH19" s="3">
        <v>10.88</v>
      </c>
      <c r="AI19" s="7">
        <f t="shared" si="16"/>
        <v>-2.6833631484794229E-2</v>
      </c>
      <c r="AJ19" s="3">
        <v>85.958853000000005</v>
      </c>
      <c r="AK19" s="7">
        <f t="shared" si="17"/>
        <v>-2.1861886215739368E-3</v>
      </c>
      <c r="AL19" s="3">
        <v>12.18</v>
      </c>
      <c r="AM19" s="7">
        <f t="shared" si="18"/>
        <v>-1.8533440773569776E-2</v>
      </c>
      <c r="AN19" s="3">
        <v>0.26</v>
      </c>
      <c r="AO19" s="7">
        <f t="shared" si="19"/>
        <v>0</v>
      </c>
      <c r="AP19" s="3">
        <v>8.19</v>
      </c>
      <c r="AQ19" s="7">
        <f t="shared" si="20"/>
        <v>-4.8780487804878092E-2</v>
      </c>
    </row>
    <row r="20" spans="1:43" x14ac:dyDescent="0.3">
      <c r="A20" s="4">
        <v>42667</v>
      </c>
      <c r="B20" s="3">
        <v>18223.029297000001</v>
      </c>
      <c r="C20" s="7">
        <f t="shared" si="0"/>
        <v>4.2609716017290022E-3</v>
      </c>
      <c r="D20" s="3">
        <v>117.04904500000001</v>
      </c>
      <c r="E20" s="7">
        <f t="shared" si="1"/>
        <v>9.0051665796211378E-3</v>
      </c>
      <c r="F20" s="3">
        <v>110.80999799999999</v>
      </c>
      <c r="G20" s="7">
        <f t="shared" si="2"/>
        <v>1.6325772872840094E-2</v>
      </c>
      <c r="H20" s="3">
        <v>61</v>
      </c>
      <c r="I20" s="7">
        <f t="shared" si="3"/>
        <v>2.2460610124036329E-2</v>
      </c>
      <c r="J20" s="3">
        <v>38.270000000000003</v>
      </c>
      <c r="K20" s="7">
        <f t="shared" si="4"/>
        <v>8.9638808331136133E-3</v>
      </c>
      <c r="L20" s="3">
        <v>88.330001999999993</v>
      </c>
      <c r="M20" s="7">
        <f t="shared" si="5"/>
        <v>-5.5167529835622453E-3</v>
      </c>
      <c r="N20" s="3">
        <v>16.77</v>
      </c>
      <c r="O20" s="7">
        <f t="shared" si="6"/>
        <v>5.998800239951807E-3</v>
      </c>
      <c r="P20" s="3">
        <v>49.416573</v>
      </c>
      <c r="Q20" s="7">
        <f t="shared" si="7"/>
        <v>2.0177464534909539E-4</v>
      </c>
      <c r="R20" s="3">
        <v>8.6999999999999993</v>
      </c>
      <c r="S20" s="7">
        <f t="shared" si="8"/>
        <v>4.8192771084337283E-2</v>
      </c>
      <c r="T20" s="3">
        <v>68.870002999999997</v>
      </c>
      <c r="U20" s="7">
        <f t="shared" si="9"/>
        <v>5.5483283851167631E-3</v>
      </c>
      <c r="V20" s="3">
        <v>45.143883000000002</v>
      </c>
      <c r="W20" s="7">
        <f t="shared" si="10"/>
        <v>9.5365040503776477E-3</v>
      </c>
      <c r="X20" s="3">
        <v>151.65324100000001</v>
      </c>
      <c r="Y20" s="7">
        <f t="shared" si="11"/>
        <v>2.1145158072181758E-2</v>
      </c>
      <c r="Z20" s="3">
        <v>127.779999</v>
      </c>
      <c r="AA20" s="7">
        <f t="shared" si="12"/>
        <v>9.3207031488262704E-3</v>
      </c>
      <c r="AB20" s="3">
        <v>8.56</v>
      </c>
      <c r="AC20" s="7">
        <f t="shared" si="13"/>
        <v>-3.1674208144796268E-2</v>
      </c>
      <c r="AD20" s="3">
        <v>67.685986</v>
      </c>
      <c r="AE20" s="7">
        <f t="shared" si="14"/>
        <v>4.3967859342575188E-4</v>
      </c>
      <c r="AF20" s="3">
        <v>69.190002000000007</v>
      </c>
      <c r="AG20" s="7">
        <f t="shared" si="15"/>
        <v>1.243789946958751E-2</v>
      </c>
      <c r="AH20" s="3">
        <v>11.18</v>
      </c>
      <c r="AI20" s="7">
        <f t="shared" si="16"/>
        <v>-3.287197231833916E-2</v>
      </c>
      <c r="AJ20" s="3">
        <v>86.147187000000002</v>
      </c>
      <c r="AK20" s="7">
        <f t="shared" si="17"/>
        <v>3.3479606016009189E-3</v>
      </c>
      <c r="AL20" s="3">
        <v>12.41</v>
      </c>
      <c r="AM20" s="7">
        <f t="shared" si="18"/>
        <v>1.9720624486442073E-2</v>
      </c>
      <c r="AN20" s="3">
        <v>0.26</v>
      </c>
      <c r="AO20" s="7">
        <f t="shared" si="19"/>
        <v>-3.703703703703709E-2</v>
      </c>
      <c r="AP20" s="3">
        <v>8.61</v>
      </c>
      <c r="AQ20" s="7">
        <f t="shared" si="20"/>
        <v>-9.205983889528202E-3</v>
      </c>
    </row>
    <row r="21" spans="1:43" x14ac:dyDescent="0.3">
      <c r="A21" s="4">
        <v>42664</v>
      </c>
      <c r="B21" s="3">
        <v>18145.710938</v>
      </c>
      <c r="C21" s="7">
        <f t="shared" si="0"/>
        <v>-9.1610784717832683E-4</v>
      </c>
      <c r="D21" s="3">
        <v>116.004406</v>
      </c>
      <c r="E21" s="7">
        <f t="shared" si="1"/>
        <v>-3.9295974985157356E-3</v>
      </c>
      <c r="F21" s="3">
        <v>109.029999</v>
      </c>
      <c r="G21" s="7">
        <f t="shared" si="2"/>
        <v>0</v>
      </c>
      <c r="H21" s="3">
        <v>59.66</v>
      </c>
      <c r="I21" s="7">
        <f t="shared" si="3"/>
        <v>4.2096069868995611E-2</v>
      </c>
      <c r="J21" s="3">
        <v>37.93</v>
      </c>
      <c r="K21" s="7">
        <f t="shared" si="4"/>
        <v>-4.2005775794172751E-3</v>
      </c>
      <c r="L21" s="3">
        <v>88.82</v>
      </c>
      <c r="M21" s="7">
        <f t="shared" si="5"/>
        <v>1.7644374629289139E-2</v>
      </c>
      <c r="N21" s="3">
        <v>16.670000000000002</v>
      </c>
      <c r="O21" s="7">
        <f t="shared" si="6"/>
        <v>6.6425728648897842E-3</v>
      </c>
      <c r="P21" s="3">
        <v>49.406604000000002</v>
      </c>
      <c r="Q21" s="7">
        <f t="shared" si="7"/>
        <v>-2.0173394055467142E-4</v>
      </c>
      <c r="R21" s="3">
        <v>8.3000000000000007</v>
      </c>
      <c r="S21" s="7">
        <f t="shared" si="8"/>
        <v>7.2815533980583602E-3</v>
      </c>
      <c r="T21" s="3">
        <v>68.489998</v>
      </c>
      <c r="U21" s="7">
        <f t="shared" si="9"/>
        <v>3.3694109765773916E-3</v>
      </c>
      <c r="V21" s="3">
        <v>44.717435000000002</v>
      </c>
      <c r="W21" s="7">
        <f t="shared" si="10"/>
        <v>3.5610957460057158E-3</v>
      </c>
      <c r="X21" s="3">
        <v>148.512912</v>
      </c>
      <c r="Y21" s="7">
        <f t="shared" si="11"/>
        <v>-7.1313792137499554E-3</v>
      </c>
      <c r="Z21" s="3">
        <v>126.599998</v>
      </c>
      <c r="AA21" s="7">
        <f t="shared" si="12"/>
        <v>2.7722613861385081E-3</v>
      </c>
      <c r="AB21" s="3">
        <v>8.84</v>
      </c>
      <c r="AC21" s="7">
        <f t="shared" si="13"/>
        <v>2.0785219399538146E-2</v>
      </c>
      <c r="AD21" s="3">
        <v>67.656238999999999</v>
      </c>
      <c r="AE21" s="7">
        <f t="shared" si="14"/>
        <v>7.6798678975322776E-3</v>
      </c>
      <c r="AF21" s="3">
        <v>68.339995999999999</v>
      </c>
      <c r="AG21" s="7">
        <f t="shared" si="15"/>
        <v>-5.6744796009975396E-3</v>
      </c>
      <c r="AH21" s="3">
        <v>11.56</v>
      </c>
      <c r="AI21" s="7">
        <f t="shared" si="16"/>
        <v>-6.0926076360682369E-2</v>
      </c>
      <c r="AJ21" s="3">
        <v>85.859731999999994</v>
      </c>
      <c r="AK21" s="7">
        <f t="shared" si="17"/>
        <v>-6.7652385257371828E-3</v>
      </c>
      <c r="AL21" s="3">
        <v>12.17</v>
      </c>
      <c r="AM21" s="7">
        <f t="shared" si="18"/>
        <v>1.3322231473771762E-2</v>
      </c>
      <c r="AN21" s="3">
        <v>0.27</v>
      </c>
      <c r="AO21" s="7">
        <f t="shared" si="19"/>
        <v>0</v>
      </c>
      <c r="AP21" s="3">
        <v>8.69</v>
      </c>
      <c r="AQ21" s="7">
        <f t="shared" si="20"/>
        <v>-1.1494252873562871E-3</v>
      </c>
    </row>
    <row r="22" spans="1:43" x14ac:dyDescent="0.3">
      <c r="A22" s="4">
        <v>42663</v>
      </c>
      <c r="B22" s="3">
        <v>18162.349609000001</v>
      </c>
      <c r="C22" s="7">
        <f t="shared" si="0"/>
        <v>-2.2122932797783434E-3</v>
      </c>
      <c r="D22" s="3">
        <v>116.46205500000001</v>
      </c>
      <c r="E22" s="7">
        <f t="shared" si="1"/>
        <v>-5.123420987981353E-4</v>
      </c>
      <c r="F22" s="3">
        <v>109.029999</v>
      </c>
      <c r="G22" s="7">
        <f t="shared" si="2"/>
        <v>5.9046038002086298E-3</v>
      </c>
      <c r="H22" s="3">
        <v>57.25</v>
      </c>
      <c r="I22" s="7">
        <f t="shared" si="3"/>
        <v>-4.8670086018947067E-3</v>
      </c>
      <c r="J22" s="3">
        <v>38.090000000000003</v>
      </c>
      <c r="K22" s="7">
        <f t="shared" si="4"/>
        <v>-6.7796092192754509E-3</v>
      </c>
      <c r="L22" s="3">
        <v>87.279999000000004</v>
      </c>
      <c r="M22" s="7">
        <f t="shared" si="5"/>
        <v>3.6798528482044901E-3</v>
      </c>
      <c r="N22" s="3">
        <v>16.559999000000001</v>
      </c>
      <c r="O22" s="7">
        <f t="shared" si="6"/>
        <v>5.4644812061008796E-3</v>
      </c>
      <c r="P22" s="3">
        <v>49.416573</v>
      </c>
      <c r="Q22" s="7">
        <f t="shared" si="7"/>
        <v>2.021051566074572E-3</v>
      </c>
      <c r="R22" s="3">
        <v>8.24</v>
      </c>
      <c r="S22" s="7">
        <f t="shared" si="8"/>
        <v>3.2581453634085156E-2</v>
      </c>
      <c r="T22" s="3">
        <v>68.260002</v>
      </c>
      <c r="U22" s="7">
        <f t="shared" si="9"/>
        <v>-1.3166935279207426E-3</v>
      </c>
      <c r="V22" s="3">
        <v>44.558757</v>
      </c>
      <c r="W22" s="7">
        <f t="shared" si="10"/>
        <v>-7.2911773950865566E-3</v>
      </c>
      <c r="X22" s="3">
        <v>149.579621</v>
      </c>
      <c r="Y22" s="7">
        <f t="shared" si="11"/>
        <v>3.9477839783206292E-3</v>
      </c>
      <c r="Z22" s="3">
        <v>126.25</v>
      </c>
      <c r="AA22" s="7">
        <f t="shared" si="12"/>
        <v>2.8596473338600159E-3</v>
      </c>
      <c r="AB22" s="3">
        <v>8.66</v>
      </c>
      <c r="AC22" s="7">
        <f t="shared" si="13"/>
        <v>-2.1468926553672274E-2</v>
      </c>
      <c r="AD22" s="3">
        <v>67.140608</v>
      </c>
      <c r="AE22" s="7">
        <f t="shared" si="14"/>
        <v>2.6654920324282738E-3</v>
      </c>
      <c r="AF22" s="3">
        <v>68.730002999999996</v>
      </c>
      <c r="AG22" s="7">
        <f t="shared" si="15"/>
        <v>-2.3224851549207282E-3</v>
      </c>
      <c r="AH22" s="3">
        <v>12.31</v>
      </c>
      <c r="AI22" s="7">
        <f t="shared" si="16"/>
        <v>0</v>
      </c>
      <c r="AJ22" s="3">
        <v>86.444550000000007</v>
      </c>
      <c r="AK22" s="7">
        <f t="shared" si="17"/>
        <v>4.5888601225163583E-4</v>
      </c>
      <c r="AL22" s="3">
        <v>12.01</v>
      </c>
      <c r="AM22" s="7">
        <f t="shared" si="18"/>
        <v>1.094276094276081E-2</v>
      </c>
      <c r="AN22" s="3">
        <v>0.27</v>
      </c>
      <c r="AO22" s="7">
        <f t="shared" si="19"/>
        <v>0</v>
      </c>
      <c r="AP22" s="3">
        <v>8.6999999999999993</v>
      </c>
      <c r="AQ22" s="7">
        <f t="shared" si="20"/>
        <v>8.1112398609499703E-3</v>
      </c>
    </row>
    <row r="23" spans="1:43" x14ac:dyDescent="0.3">
      <c r="A23" s="4">
        <v>42662</v>
      </c>
      <c r="B23" s="3">
        <v>18202.619140999999</v>
      </c>
      <c r="C23" s="7">
        <f t="shared" si="0"/>
        <v>2.2398317153997649E-3</v>
      </c>
      <c r="D23" s="3">
        <v>116.521754</v>
      </c>
      <c r="E23" s="7">
        <f t="shared" si="1"/>
        <v>-2.979473810914457E-3</v>
      </c>
      <c r="F23" s="3">
        <v>108.389999</v>
      </c>
      <c r="G23" s="7">
        <f t="shared" si="2"/>
        <v>-2.766924972642526E-4</v>
      </c>
      <c r="H23" s="3">
        <v>57.529998999999997</v>
      </c>
      <c r="I23" s="7">
        <f t="shared" si="3"/>
        <v>-2.25461325008669E-3</v>
      </c>
      <c r="J23" s="3">
        <v>38.349997999999999</v>
      </c>
      <c r="K23" s="7">
        <f t="shared" si="4"/>
        <v>-1.8219678199878908E-3</v>
      </c>
      <c r="L23" s="3">
        <v>86.959998999999996</v>
      </c>
      <c r="M23" s="7">
        <f t="shared" si="5"/>
        <v>-7.9854548033103656E-3</v>
      </c>
      <c r="N23" s="3">
        <v>16.469999000000001</v>
      </c>
      <c r="O23" s="7">
        <f t="shared" si="6"/>
        <v>1.2915067650676404E-2</v>
      </c>
      <c r="P23" s="3">
        <v>49.316901000000001</v>
      </c>
      <c r="Q23" s="7">
        <f t="shared" si="7"/>
        <v>1.0002003337475918E-2</v>
      </c>
      <c r="R23" s="3">
        <v>7.98</v>
      </c>
      <c r="S23" s="7">
        <f t="shared" si="8"/>
        <v>-1.6029593094944339E-2</v>
      </c>
      <c r="T23" s="3">
        <v>68.349997999999999</v>
      </c>
      <c r="U23" s="7">
        <f t="shared" si="9"/>
        <v>9.6011968804075032E-3</v>
      </c>
      <c r="V23" s="3">
        <v>44.886029000000001</v>
      </c>
      <c r="W23" s="7">
        <f t="shared" si="10"/>
        <v>6.8964940190014978E-3</v>
      </c>
      <c r="X23" s="3">
        <v>148.991435</v>
      </c>
      <c r="Y23" s="7">
        <f t="shared" si="11"/>
        <v>2.2801704716912674E-3</v>
      </c>
      <c r="Z23" s="3">
        <v>125.889999</v>
      </c>
      <c r="AA23" s="7">
        <f t="shared" si="12"/>
        <v>1.1929457800692322E-3</v>
      </c>
      <c r="AB23" s="3">
        <v>8.85</v>
      </c>
      <c r="AC23" s="7">
        <f t="shared" si="13"/>
        <v>4.3632075471698117E-2</v>
      </c>
      <c r="AD23" s="3">
        <v>66.962120999999996</v>
      </c>
      <c r="AE23" s="7">
        <f t="shared" si="14"/>
        <v>2.523716622770289E-3</v>
      </c>
      <c r="AF23" s="3">
        <v>68.889999000000003</v>
      </c>
      <c r="AG23" s="7">
        <f t="shared" si="15"/>
        <v>2.9034411396788862E-4</v>
      </c>
      <c r="AH23" s="3">
        <v>12.31</v>
      </c>
      <c r="AI23" s="7">
        <f t="shared" si="16"/>
        <v>6.212251941328728E-2</v>
      </c>
      <c r="AJ23" s="3">
        <v>86.404899999999998</v>
      </c>
      <c r="AK23" s="7">
        <f t="shared" si="17"/>
        <v>4.6099097124328026E-3</v>
      </c>
      <c r="AL23" s="3">
        <v>11.88</v>
      </c>
      <c r="AM23" s="7">
        <f t="shared" si="18"/>
        <v>9.3457943925234765E-3</v>
      </c>
      <c r="AN23" s="3">
        <v>0.27</v>
      </c>
      <c r="AO23" s="7">
        <f t="shared" si="19"/>
        <v>8.0000000000000071E-2</v>
      </c>
      <c r="AP23" s="3">
        <v>8.6300000000000008</v>
      </c>
      <c r="AQ23" s="7">
        <f t="shared" si="20"/>
        <v>3.2296650717703601E-2</v>
      </c>
    </row>
    <row r="24" spans="1:43" x14ac:dyDescent="0.3">
      <c r="A24" s="4">
        <v>42661</v>
      </c>
      <c r="B24" s="3">
        <v>18161.939452999999</v>
      </c>
      <c r="C24" s="7">
        <f t="shared" si="0"/>
        <v>4.1765669435023245E-3</v>
      </c>
      <c r="D24" s="3">
        <v>116.86996499999999</v>
      </c>
      <c r="E24" s="7">
        <f t="shared" si="1"/>
        <v>-6.8057546656141721E-4</v>
      </c>
      <c r="F24" s="3">
        <v>108.41999800000001</v>
      </c>
      <c r="G24" s="7">
        <f t="shared" si="2"/>
        <v>8.6519677858771793E-3</v>
      </c>
      <c r="H24" s="3">
        <v>57.66</v>
      </c>
      <c r="I24" s="7">
        <f t="shared" si="3"/>
        <v>7.6896014035370275E-3</v>
      </c>
      <c r="J24" s="3">
        <v>38.419998</v>
      </c>
      <c r="K24" s="7">
        <f t="shared" si="4"/>
        <v>3.3950638967077396E-3</v>
      </c>
      <c r="L24" s="3">
        <v>87.660004000000001</v>
      </c>
      <c r="M24" s="7">
        <f t="shared" si="5"/>
        <v>1.5170886280738483E-2</v>
      </c>
      <c r="N24" s="3">
        <v>16.260000000000002</v>
      </c>
      <c r="O24" s="7">
        <f t="shared" si="6"/>
        <v>1.3084175270042131E-2</v>
      </c>
      <c r="P24" s="3">
        <v>48.828518000000003</v>
      </c>
      <c r="Q24" s="7">
        <f t="shared" si="7"/>
        <v>8.024764759557268E-3</v>
      </c>
      <c r="R24" s="3">
        <v>8.11</v>
      </c>
      <c r="S24" s="7">
        <f t="shared" si="8"/>
        <v>6.430446194225703E-2</v>
      </c>
      <c r="T24" s="3">
        <v>67.699996999999996</v>
      </c>
      <c r="U24" s="7">
        <f t="shared" si="9"/>
        <v>7.8904126214205395E-3</v>
      </c>
      <c r="V24" s="3">
        <v>44.578592999999998</v>
      </c>
      <c r="W24" s="7">
        <f t="shared" si="10"/>
        <v>1.0112387047040983E-2</v>
      </c>
      <c r="X24" s="3">
        <v>148.65248199999999</v>
      </c>
      <c r="Y24" s="7">
        <f t="shared" si="11"/>
        <v>2.7572497042487321E-3</v>
      </c>
      <c r="Z24" s="3">
        <v>125.739998</v>
      </c>
      <c r="AA24" s="7">
        <f t="shared" si="12"/>
        <v>4.7946220616479351E-3</v>
      </c>
      <c r="AB24" s="3">
        <v>8.48</v>
      </c>
      <c r="AC24" s="7">
        <f t="shared" si="13"/>
        <v>-4.6948356807510194E-3</v>
      </c>
      <c r="AD24" s="3">
        <v>66.793553000000003</v>
      </c>
      <c r="AE24" s="7">
        <f t="shared" si="14"/>
        <v>1.7846987184422236E-3</v>
      </c>
      <c r="AF24" s="3">
        <v>68.870002999999997</v>
      </c>
      <c r="AG24" s="7">
        <f t="shared" si="15"/>
        <v>9.5280268318964634E-3</v>
      </c>
      <c r="AH24" s="3">
        <v>11.59</v>
      </c>
      <c r="AI24" s="7">
        <f t="shared" si="16"/>
        <v>0</v>
      </c>
      <c r="AJ24" s="3">
        <v>86.008409</v>
      </c>
      <c r="AK24" s="7">
        <f t="shared" si="17"/>
        <v>2.6576807167395522E-3</v>
      </c>
      <c r="AL24" s="3">
        <v>11.77</v>
      </c>
      <c r="AM24" s="7">
        <f t="shared" si="18"/>
        <v>3.1551270815074473E-2</v>
      </c>
      <c r="AN24" s="3">
        <v>0.25</v>
      </c>
      <c r="AO24" s="7">
        <f t="shared" si="19"/>
        <v>0</v>
      </c>
      <c r="AP24" s="3">
        <v>8.36</v>
      </c>
      <c r="AQ24" s="7">
        <f t="shared" si="20"/>
        <v>-9.4786729857819774E-3</v>
      </c>
    </row>
    <row r="25" spans="1:43" x14ac:dyDescent="0.3">
      <c r="A25" s="4">
        <v>42660</v>
      </c>
      <c r="B25" s="3">
        <v>18086.400390999999</v>
      </c>
      <c r="C25" s="7">
        <f t="shared" si="0"/>
        <v>-2.8657722210199132E-3</v>
      </c>
      <c r="D25" s="3">
        <v>116.949558</v>
      </c>
      <c r="E25" s="7">
        <f t="shared" si="1"/>
        <v>-6.8004428606305289E-4</v>
      </c>
      <c r="F25" s="3">
        <v>107.489998</v>
      </c>
      <c r="G25" s="7">
        <f t="shared" si="2"/>
        <v>-3.2455305358134456E-3</v>
      </c>
      <c r="H25" s="3">
        <v>57.220001000000003</v>
      </c>
      <c r="I25" s="7">
        <f t="shared" si="3"/>
        <v>-3.4830548060972299E-3</v>
      </c>
      <c r="J25" s="3">
        <v>38.290000999999997</v>
      </c>
      <c r="K25" s="7">
        <f t="shared" si="4"/>
        <v>-3.1241603749023739E-3</v>
      </c>
      <c r="L25" s="3">
        <v>86.349997999999999</v>
      </c>
      <c r="M25" s="7">
        <f t="shared" si="5"/>
        <v>2.5542901156725417E-3</v>
      </c>
      <c r="N25" s="3">
        <v>16.049999</v>
      </c>
      <c r="O25" s="7">
        <f t="shared" si="6"/>
        <v>3.1249374999999802E-3</v>
      </c>
      <c r="P25" s="3">
        <v>48.439799999999998</v>
      </c>
      <c r="Q25" s="7">
        <f t="shared" si="7"/>
        <v>-2.0578013063843326E-4</v>
      </c>
      <c r="R25" s="3">
        <v>7.62</v>
      </c>
      <c r="S25" s="7">
        <f t="shared" si="8"/>
        <v>4.8143053645117062E-2</v>
      </c>
      <c r="T25" s="3">
        <v>67.169998000000007</v>
      </c>
      <c r="U25" s="7">
        <f t="shared" si="9"/>
        <v>-5.1836347089884161E-3</v>
      </c>
      <c r="V25" s="3">
        <v>44.132309999999997</v>
      </c>
      <c r="W25" s="7">
        <f t="shared" si="10"/>
        <v>-4.6969170944877181E-3</v>
      </c>
      <c r="X25" s="3">
        <v>148.24373700000001</v>
      </c>
      <c r="Y25" s="7">
        <f t="shared" si="11"/>
        <v>-9.6569838626523463E-3</v>
      </c>
      <c r="Z25" s="3">
        <v>125.139999</v>
      </c>
      <c r="AA25" s="7">
        <f t="shared" si="12"/>
        <v>-1.0124972474687133E-2</v>
      </c>
      <c r="AB25" s="3">
        <v>8.52</v>
      </c>
      <c r="AC25" s="7">
        <f t="shared" si="13"/>
        <v>-1.730103806228378E-2</v>
      </c>
      <c r="AD25" s="3">
        <v>66.674559000000002</v>
      </c>
      <c r="AE25" s="7">
        <f t="shared" si="14"/>
        <v>-1.2773499825562862E-2</v>
      </c>
      <c r="AF25" s="3">
        <v>68.220000999999996</v>
      </c>
      <c r="AG25" s="7">
        <f t="shared" si="15"/>
        <v>-3.3600585840785069E-3</v>
      </c>
      <c r="AH25" s="3">
        <v>11.59</v>
      </c>
      <c r="AI25" s="7">
        <f t="shared" si="16"/>
        <v>-2.849958088851634E-2</v>
      </c>
      <c r="AJ25" s="3">
        <v>85.780432000000005</v>
      </c>
      <c r="AK25" s="7">
        <f t="shared" si="17"/>
        <v>0</v>
      </c>
      <c r="AL25" s="3">
        <v>11.41</v>
      </c>
      <c r="AM25" s="7">
        <f t="shared" si="18"/>
        <v>2.4236983842010673E-2</v>
      </c>
      <c r="AN25" s="3">
        <v>0.25</v>
      </c>
      <c r="AO25" s="7">
        <f t="shared" si="19"/>
        <v>-3.8461538461538547E-2</v>
      </c>
      <c r="AP25" s="3">
        <v>8.44</v>
      </c>
      <c r="AQ25" s="7">
        <f t="shared" si="20"/>
        <v>-2.7649769585253448E-2</v>
      </c>
    </row>
    <row r="26" spans="1:43" x14ac:dyDescent="0.3">
      <c r="A26" s="4">
        <v>42657</v>
      </c>
      <c r="B26" s="3">
        <v>18138.380859000001</v>
      </c>
      <c r="C26" s="7">
        <f t="shared" si="0"/>
        <v>2.1792108925733356E-3</v>
      </c>
      <c r="D26" s="3">
        <v>117.029143</v>
      </c>
      <c r="E26" s="7">
        <f t="shared" si="1"/>
        <v>5.5564467741577861E-3</v>
      </c>
      <c r="F26" s="3">
        <v>107.839996</v>
      </c>
      <c r="G26" s="7">
        <f t="shared" si="2"/>
        <v>-1.5739838612354173E-3</v>
      </c>
      <c r="H26" s="3">
        <v>57.419998</v>
      </c>
      <c r="I26" s="7">
        <f t="shared" si="3"/>
        <v>8.7842589172262286E-3</v>
      </c>
      <c r="J26" s="3">
        <v>38.409999999999997</v>
      </c>
      <c r="K26" s="7">
        <f t="shared" si="4"/>
        <v>9.9921380487020262E-3</v>
      </c>
      <c r="L26" s="3">
        <v>86.129997000000003</v>
      </c>
      <c r="M26" s="7">
        <f t="shared" si="5"/>
        <v>-1.2723533074817328E-2</v>
      </c>
      <c r="N26" s="3">
        <v>16</v>
      </c>
      <c r="O26" s="7">
        <f t="shared" si="6"/>
        <v>1.073910296904601E-2</v>
      </c>
      <c r="P26" s="3">
        <v>48.449770000000001</v>
      </c>
      <c r="Q26" s="7">
        <f t="shared" si="7"/>
        <v>2.8883736265228332E-3</v>
      </c>
      <c r="R26" s="3">
        <v>7.27</v>
      </c>
      <c r="S26" s="7">
        <f t="shared" si="8"/>
        <v>1.6783216783216703E-2</v>
      </c>
      <c r="T26" s="3">
        <v>67.519997000000004</v>
      </c>
      <c r="U26" s="7">
        <f t="shared" si="9"/>
        <v>-3.2477266976004282E-3</v>
      </c>
      <c r="V26" s="3">
        <v>44.340573999999997</v>
      </c>
      <c r="W26" s="7">
        <f t="shared" si="10"/>
        <v>-8.938661986626073E-4</v>
      </c>
      <c r="X26" s="3">
        <v>149.68928399999999</v>
      </c>
      <c r="Y26" s="7">
        <f t="shared" si="11"/>
        <v>-4.6603519064158938E-4</v>
      </c>
      <c r="Z26" s="3">
        <v>126.41999800000001</v>
      </c>
      <c r="AA26" s="7">
        <f t="shared" si="12"/>
        <v>1.0293530681024787E-3</v>
      </c>
      <c r="AB26" s="3">
        <v>8.67</v>
      </c>
      <c r="AC26" s="7">
        <f t="shared" si="13"/>
        <v>-6.8728522336770626E-3</v>
      </c>
      <c r="AD26" s="3">
        <v>67.537245999999996</v>
      </c>
      <c r="AE26" s="7">
        <f t="shared" si="14"/>
        <v>3.2405515849551758E-3</v>
      </c>
      <c r="AF26" s="3">
        <v>68.449996999999996</v>
      </c>
      <c r="AG26" s="7">
        <f t="shared" si="15"/>
        <v>3.224300019450288E-3</v>
      </c>
      <c r="AH26" s="3">
        <v>11.93</v>
      </c>
      <c r="AI26" s="7">
        <f t="shared" si="16"/>
        <v>-1.1599005799502904E-2</v>
      </c>
      <c r="AJ26" s="3">
        <v>85.780432000000005</v>
      </c>
      <c r="AK26" s="7">
        <f t="shared" si="17"/>
        <v>-2.3101330482078186E-4</v>
      </c>
      <c r="AL26" s="3">
        <v>11.14</v>
      </c>
      <c r="AM26" s="7">
        <f t="shared" si="18"/>
        <v>1.2727272727272698E-2</v>
      </c>
      <c r="AN26" s="3">
        <v>0.26</v>
      </c>
      <c r="AO26" s="7">
        <f t="shared" si="19"/>
        <v>-3.703703703703709E-2</v>
      </c>
      <c r="AP26" s="3">
        <v>8.68</v>
      </c>
      <c r="AQ26" s="7">
        <f t="shared" si="20"/>
        <v>-1.9209039548022555E-2</v>
      </c>
    </row>
    <row r="27" spans="1:43" x14ac:dyDescent="0.3">
      <c r="A27" s="4">
        <v>42656</v>
      </c>
      <c r="B27" s="3">
        <v>18098.939452999999</v>
      </c>
      <c r="C27" s="7">
        <f t="shared" si="0"/>
        <v>-2.4944482505794285E-3</v>
      </c>
      <c r="D27" s="3">
        <v>116.38247</v>
      </c>
      <c r="E27" s="7">
        <f t="shared" si="1"/>
        <v>-3.0679465958654006E-3</v>
      </c>
      <c r="F27" s="3">
        <v>108.010002</v>
      </c>
      <c r="G27" s="7">
        <f t="shared" si="2"/>
        <v>-3.7020822664857178E-4</v>
      </c>
      <c r="H27" s="3">
        <v>56.919998</v>
      </c>
      <c r="I27" s="7">
        <f t="shared" si="3"/>
        <v>-3.326965446910024E-3</v>
      </c>
      <c r="J27" s="3">
        <v>38.029998999999997</v>
      </c>
      <c r="K27" s="7">
        <f t="shared" si="4"/>
        <v>-5.2562419252633052E-4</v>
      </c>
      <c r="L27" s="3">
        <v>87.239998</v>
      </c>
      <c r="M27" s="7">
        <f t="shared" si="5"/>
        <v>2.2927080681878209E-4</v>
      </c>
      <c r="N27" s="3">
        <v>15.83</v>
      </c>
      <c r="O27" s="7">
        <f t="shared" si="6"/>
        <v>-1.2476667967768584E-2</v>
      </c>
      <c r="P27" s="3">
        <v>48.310231999999999</v>
      </c>
      <c r="Q27" s="7">
        <f t="shared" si="7"/>
        <v>-4.7227748022727889E-3</v>
      </c>
      <c r="R27" s="3">
        <v>7.15</v>
      </c>
      <c r="S27" s="7">
        <f t="shared" si="8"/>
        <v>-2.9850746268656692E-2</v>
      </c>
      <c r="T27" s="3">
        <v>67.739998</v>
      </c>
      <c r="U27" s="7">
        <f t="shared" si="9"/>
        <v>-5.7243360806253918E-3</v>
      </c>
      <c r="V27" s="3">
        <v>44.380243999999998</v>
      </c>
      <c r="W27" s="7">
        <f t="shared" si="10"/>
        <v>-1.2577222911624664E-2</v>
      </c>
      <c r="X27" s="3">
        <v>149.75907699999999</v>
      </c>
      <c r="Y27" s="7">
        <f t="shared" si="11"/>
        <v>-1.5951442557906592E-3</v>
      </c>
      <c r="Z27" s="3">
        <v>126.290001</v>
      </c>
      <c r="AA27" s="7">
        <f t="shared" si="12"/>
        <v>-3.157320969968902E-3</v>
      </c>
      <c r="AB27" s="3">
        <v>8.73</v>
      </c>
      <c r="AC27" s="7">
        <f t="shared" si="13"/>
        <v>-2.2396416573348232E-2</v>
      </c>
      <c r="AD27" s="3">
        <v>67.319095000000004</v>
      </c>
      <c r="AE27" s="7">
        <f t="shared" si="14"/>
        <v>4.4207591370915011E-4</v>
      </c>
      <c r="AF27" s="3">
        <v>68.230002999999996</v>
      </c>
      <c r="AG27" s="7">
        <f t="shared" si="15"/>
        <v>1.141423082440296E-2</v>
      </c>
      <c r="AH27" s="3">
        <v>12.07</v>
      </c>
      <c r="AI27" s="7">
        <f t="shared" si="16"/>
        <v>-3.8247011952191268E-2</v>
      </c>
      <c r="AJ27" s="3">
        <v>85.800252999999998</v>
      </c>
      <c r="AK27" s="7">
        <f t="shared" si="17"/>
        <v>-6.541948295176625E-3</v>
      </c>
      <c r="AL27" s="3">
        <v>11</v>
      </c>
      <c r="AM27" s="7">
        <f t="shared" si="18"/>
        <v>3.1894934333958735E-2</v>
      </c>
      <c r="AN27" s="3">
        <v>0.27</v>
      </c>
      <c r="AO27" s="7">
        <f t="shared" si="19"/>
        <v>0</v>
      </c>
      <c r="AP27" s="3">
        <v>8.85</v>
      </c>
      <c r="AQ27" s="7">
        <f t="shared" si="20"/>
        <v>-1.7758046614872347E-2</v>
      </c>
    </row>
    <row r="28" spans="1:43" x14ac:dyDescent="0.3">
      <c r="A28" s="4">
        <v>42655</v>
      </c>
      <c r="B28" s="3">
        <v>18144.199218999998</v>
      </c>
      <c r="C28" s="7">
        <f t="shared" si="0"/>
        <v>8.5715452031642769E-4</v>
      </c>
      <c r="D28" s="3">
        <v>116.740624</v>
      </c>
      <c r="E28" s="7">
        <f t="shared" si="1"/>
        <v>8.9423323744053373E-3</v>
      </c>
      <c r="F28" s="3">
        <v>108.050003</v>
      </c>
      <c r="G28" s="7">
        <f t="shared" si="2"/>
        <v>6.3332400204925143E-3</v>
      </c>
      <c r="H28" s="3">
        <v>57.110000999999997</v>
      </c>
      <c r="I28" s="7">
        <f t="shared" si="3"/>
        <v>-1.398811005399847E-3</v>
      </c>
      <c r="J28" s="3">
        <v>38.049999</v>
      </c>
      <c r="K28" s="7">
        <f t="shared" si="4"/>
        <v>1.0523810077547324E-3</v>
      </c>
      <c r="L28" s="3">
        <v>87.220000999999996</v>
      </c>
      <c r="M28" s="7">
        <f t="shared" si="5"/>
        <v>-1.568671689779122E-2</v>
      </c>
      <c r="N28" s="3">
        <v>16.030000999999999</v>
      </c>
      <c r="O28" s="7">
        <f t="shared" si="6"/>
        <v>-4.9658594062161887E-3</v>
      </c>
      <c r="P28" s="3">
        <v>48.539473000000001</v>
      </c>
      <c r="Q28" s="7">
        <f t="shared" si="7"/>
        <v>-5.9195939553193799E-3</v>
      </c>
      <c r="R28" s="3">
        <v>7.37</v>
      </c>
      <c r="S28" s="7">
        <f t="shared" si="8"/>
        <v>-9.4086021505376261E-3</v>
      </c>
      <c r="T28" s="3">
        <v>68.129997000000003</v>
      </c>
      <c r="U28" s="7">
        <f t="shared" si="9"/>
        <v>-2.6350608296019651E-3</v>
      </c>
      <c r="V28" s="3">
        <v>44.945534000000002</v>
      </c>
      <c r="W28" s="7">
        <f t="shared" si="10"/>
        <v>-2.8603115187555428E-3</v>
      </c>
      <c r="X28" s="3">
        <v>149.998346</v>
      </c>
      <c r="Y28" s="7">
        <f t="shared" si="11"/>
        <v>-3.6420605477986978E-3</v>
      </c>
      <c r="Z28" s="3">
        <v>126.69000200000001</v>
      </c>
      <c r="AA28" s="7">
        <f t="shared" si="12"/>
        <v>6.6746445240308816E-3</v>
      </c>
      <c r="AB28" s="3">
        <v>8.93</v>
      </c>
      <c r="AC28" s="7">
        <f t="shared" si="13"/>
        <v>-8.8790233074361735E-3</v>
      </c>
      <c r="AD28" s="3">
        <v>67.289348000000004</v>
      </c>
      <c r="AE28" s="7">
        <f t="shared" si="14"/>
        <v>-7.7496549799018766E-3</v>
      </c>
      <c r="AF28" s="3">
        <v>67.459998999999996</v>
      </c>
      <c r="AG28" s="7">
        <f t="shared" si="15"/>
        <v>1.0387297972802578E-3</v>
      </c>
      <c r="AH28" s="3">
        <v>12.55</v>
      </c>
      <c r="AI28" s="7">
        <f t="shared" si="16"/>
        <v>-2.9389017788089666E-2</v>
      </c>
      <c r="AJ28" s="3">
        <v>86.365250000000003</v>
      </c>
      <c r="AK28" s="7">
        <f t="shared" si="17"/>
        <v>-6.9523711175604186E-3</v>
      </c>
      <c r="AL28" s="3">
        <v>10.66</v>
      </c>
      <c r="AM28" s="7">
        <f t="shared" si="18"/>
        <v>-2.8063610851262188E-3</v>
      </c>
      <c r="AN28" s="3">
        <v>0.27</v>
      </c>
      <c r="AO28" s="7">
        <f t="shared" si="19"/>
        <v>0</v>
      </c>
      <c r="AP28" s="3">
        <v>9.01</v>
      </c>
      <c r="AQ28" s="7">
        <f t="shared" si="20"/>
        <v>-1.3143483023001168E-2</v>
      </c>
    </row>
    <row r="29" spans="1:43" x14ac:dyDescent="0.3">
      <c r="A29" s="4">
        <v>42654</v>
      </c>
      <c r="B29" s="3">
        <v>18128.660156000002</v>
      </c>
      <c r="C29" s="7">
        <f t="shared" si="0"/>
        <v>-1.0932319218819653E-2</v>
      </c>
      <c r="D29" s="3">
        <v>115.705943</v>
      </c>
      <c r="E29" s="7">
        <f t="shared" si="1"/>
        <v>2.154243796966604E-3</v>
      </c>
      <c r="F29" s="3">
        <v>107.370003</v>
      </c>
      <c r="G29" s="7">
        <f t="shared" si="2"/>
        <v>-1.7118226237975653E-2</v>
      </c>
      <c r="H29" s="3">
        <v>57.189999</v>
      </c>
      <c r="I29" s="7">
        <f t="shared" si="3"/>
        <v>-1.4645106570552846E-2</v>
      </c>
      <c r="J29" s="3">
        <v>38.009998000000003</v>
      </c>
      <c r="K29" s="7">
        <f t="shared" si="4"/>
        <v>-1.5794951211676511E-2</v>
      </c>
      <c r="L29" s="3">
        <v>88.610000999999997</v>
      </c>
      <c r="M29" s="7">
        <f t="shared" si="5"/>
        <v>-1.6427961657363155E-2</v>
      </c>
      <c r="N29" s="3">
        <v>16.110001</v>
      </c>
      <c r="O29" s="7">
        <f t="shared" si="6"/>
        <v>-1.1656319733516551E-2</v>
      </c>
      <c r="P29" s="3">
        <v>48.828518000000003</v>
      </c>
      <c r="Q29" s="7">
        <f t="shared" si="7"/>
        <v>-1.1301673103288778E-2</v>
      </c>
      <c r="R29" s="3">
        <v>7.44</v>
      </c>
      <c r="S29" s="7">
        <f t="shared" si="8"/>
        <v>-7.9999999999998961E-3</v>
      </c>
      <c r="T29" s="3">
        <v>68.309997999999993</v>
      </c>
      <c r="U29" s="7">
        <f t="shared" si="9"/>
        <v>-4.807706946499346E-3</v>
      </c>
      <c r="V29" s="3">
        <v>45.074460999999999</v>
      </c>
      <c r="W29" s="7">
        <f t="shared" si="10"/>
        <v>-4.3811948054472971E-3</v>
      </c>
      <c r="X29" s="3">
        <v>150.54664600000001</v>
      </c>
      <c r="Y29" s="7">
        <f t="shared" si="11"/>
        <v>4.8575716987357964E-3</v>
      </c>
      <c r="Z29" s="3">
        <v>125.849998</v>
      </c>
      <c r="AA29" s="7">
        <f t="shared" si="12"/>
        <v>-1.1001980353634533E-2</v>
      </c>
      <c r="AB29" s="3">
        <v>9.01</v>
      </c>
      <c r="AC29" s="7">
        <f t="shared" si="13"/>
        <v>-5.5187637969095205E-3</v>
      </c>
      <c r="AD29" s="3">
        <v>67.814890000000005</v>
      </c>
      <c r="AE29" s="7">
        <f t="shared" si="14"/>
        <v>-6.8254626668212692E-3</v>
      </c>
      <c r="AF29" s="3">
        <v>67.389999000000003</v>
      </c>
      <c r="AG29" s="7">
        <f t="shared" si="15"/>
        <v>-8.6790816999521292E-3</v>
      </c>
      <c r="AH29" s="3">
        <v>12.93</v>
      </c>
      <c r="AI29" s="7">
        <f t="shared" si="16"/>
        <v>-5.6204379562043716E-2</v>
      </c>
      <c r="AJ29" s="3">
        <v>86.969897000000003</v>
      </c>
      <c r="AK29" s="7">
        <f t="shared" si="17"/>
        <v>-7.9150155519800425E-3</v>
      </c>
      <c r="AL29" s="3">
        <v>10.69</v>
      </c>
      <c r="AM29" s="7">
        <f t="shared" si="18"/>
        <v>-1.6559337626494863E-2</v>
      </c>
      <c r="AN29" s="3">
        <v>0.27</v>
      </c>
      <c r="AO29" s="7">
        <f t="shared" si="19"/>
        <v>-3.5714285714285698E-2</v>
      </c>
      <c r="AP29" s="3">
        <v>9.1300000000000008</v>
      </c>
      <c r="AQ29" s="7">
        <f t="shared" si="20"/>
        <v>-2.9755579171094504E-2</v>
      </c>
    </row>
    <row r="30" spans="1:43" x14ac:dyDescent="0.3">
      <c r="A30" s="4">
        <v>42653</v>
      </c>
      <c r="B30" s="3">
        <v>18329.039062</v>
      </c>
      <c r="C30" s="7">
        <f t="shared" si="0"/>
        <v>4.8545201836156515E-3</v>
      </c>
      <c r="D30" s="3">
        <v>115.45722000000001</v>
      </c>
      <c r="E30" s="7">
        <f t="shared" si="1"/>
        <v>1.7447010297973131E-2</v>
      </c>
      <c r="F30" s="3">
        <v>109.239998</v>
      </c>
      <c r="G30" s="7">
        <f t="shared" si="2"/>
        <v>5.5228185338993541E-3</v>
      </c>
      <c r="H30" s="3">
        <v>58.040000999999997</v>
      </c>
      <c r="I30" s="7">
        <f t="shared" si="3"/>
        <v>4.152283808863011E-3</v>
      </c>
      <c r="J30" s="3">
        <v>38.619999</v>
      </c>
      <c r="K30" s="7">
        <f t="shared" si="4"/>
        <v>-2.3249806852230215E-3</v>
      </c>
      <c r="L30" s="3">
        <v>90.089995999999999</v>
      </c>
      <c r="M30" s="7">
        <f t="shared" si="5"/>
        <v>5.8054705816681373E-3</v>
      </c>
      <c r="N30" s="3">
        <v>16.299999</v>
      </c>
      <c r="O30" s="7">
        <f t="shared" si="6"/>
        <v>1.0539368291343276E-2</v>
      </c>
      <c r="P30" s="3">
        <v>49.386670000000002</v>
      </c>
      <c r="Q30" s="7">
        <f t="shared" si="7"/>
        <v>5.4789164095063736E-3</v>
      </c>
      <c r="R30" s="3">
        <v>7.5</v>
      </c>
      <c r="S30" s="7">
        <f t="shared" si="8"/>
        <v>0</v>
      </c>
      <c r="T30" s="3">
        <v>68.639999000000003</v>
      </c>
      <c r="U30" s="7">
        <f t="shared" si="9"/>
        <v>7.7815003996257737E-3</v>
      </c>
      <c r="V30" s="3">
        <v>45.27281</v>
      </c>
      <c r="W30" s="7">
        <f t="shared" si="10"/>
        <v>7.0593436782997454E-3</v>
      </c>
      <c r="X30" s="3">
        <v>149.81889000000001</v>
      </c>
      <c r="Y30" s="7">
        <f t="shared" si="11"/>
        <v>1.9334141096583046E-3</v>
      </c>
      <c r="Z30" s="3">
        <v>127.25</v>
      </c>
      <c r="AA30" s="7">
        <f t="shared" si="12"/>
        <v>-8.2612268453157167E-3</v>
      </c>
      <c r="AB30" s="3">
        <v>9.06</v>
      </c>
      <c r="AC30" s="7">
        <f t="shared" si="13"/>
        <v>-4.0254237288135486E-2</v>
      </c>
      <c r="AD30" s="3">
        <v>68.280939000000004</v>
      </c>
      <c r="AE30" s="7">
        <f t="shared" si="14"/>
        <v>-2.6071793620818795E-3</v>
      </c>
      <c r="AF30" s="3">
        <v>67.980002999999996</v>
      </c>
      <c r="AG30" s="7">
        <f t="shared" si="15"/>
        <v>-1.0480262466387003E-2</v>
      </c>
      <c r="AH30" s="3">
        <v>13.7</v>
      </c>
      <c r="AI30" s="7">
        <f t="shared" si="16"/>
        <v>1.9345238095238138E-2</v>
      </c>
      <c r="AJ30" s="3">
        <v>87.663757000000004</v>
      </c>
      <c r="AK30" s="7">
        <f t="shared" si="17"/>
        <v>1.9598848430716798E-2</v>
      </c>
      <c r="AL30" s="3">
        <v>10.87</v>
      </c>
      <c r="AM30" s="7">
        <f t="shared" si="18"/>
        <v>3.228869895536568E-2</v>
      </c>
      <c r="AN30" s="3">
        <v>0.28000000000000003</v>
      </c>
      <c r="AO30" s="7">
        <f t="shared" si="19"/>
        <v>3.7037037037036979E-2</v>
      </c>
      <c r="AP30" s="3">
        <v>9.41</v>
      </c>
      <c r="AQ30" s="7">
        <f t="shared" si="20"/>
        <v>4.2081949058693224E-2</v>
      </c>
    </row>
    <row r="31" spans="1:43" x14ac:dyDescent="0.3">
      <c r="A31" s="4">
        <v>42650</v>
      </c>
      <c r="B31" s="3">
        <v>18240.490234000001</v>
      </c>
      <c r="C31" s="7">
        <f t="shared" si="0"/>
        <v>-1.5332274680460722E-3</v>
      </c>
      <c r="D31" s="3">
        <v>113.477379</v>
      </c>
      <c r="E31" s="7">
        <f t="shared" si="1"/>
        <v>1.4926539020119201E-3</v>
      </c>
      <c r="F31" s="3">
        <v>108.639999</v>
      </c>
      <c r="G31" s="7">
        <f t="shared" si="2"/>
        <v>7.3692890082788232E-4</v>
      </c>
      <c r="H31" s="3">
        <v>57.799999</v>
      </c>
      <c r="I31" s="7">
        <f t="shared" si="3"/>
        <v>1.0390889837517125E-3</v>
      </c>
      <c r="J31" s="3">
        <v>38.709999000000003</v>
      </c>
      <c r="K31" s="7">
        <f t="shared" si="4"/>
        <v>-2.5823864970220267E-4</v>
      </c>
      <c r="L31" s="3">
        <v>89.57</v>
      </c>
      <c r="M31" s="7">
        <f t="shared" si="5"/>
        <v>-1.4956559991202156E-2</v>
      </c>
      <c r="N31" s="3">
        <v>16.129999000000002</v>
      </c>
      <c r="O31" s="7">
        <f t="shared" si="6"/>
        <v>-5.5487056441865246E-3</v>
      </c>
      <c r="P31" s="3">
        <v>49.117559</v>
      </c>
      <c r="Q31" s="7">
        <f t="shared" si="7"/>
        <v>4.2795845576326652E-3</v>
      </c>
      <c r="R31" s="3">
        <v>7.5</v>
      </c>
      <c r="S31" s="7">
        <f t="shared" si="8"/>
        <v>6.7114093959730337E-3</v>
      </c>
      <c r="T31" s="3">
        <v>68.110000999999997</v>
      </c>
      <c r="U31" s="7">
        <f t="shared" si="9"/>
        <v>3.5361424693027832E-3</v>
      </c>
      <c r="V31" s="3">
        <v>44.955454000000003</v>
      </c>
      <c r="W31" s="7">
        <f t="shared" si="10"/>
        <v>3.3200844195329093E-3</v>
      </c>
      <c r="X31" s="3">
        <v>149.529787</v>
      </c>
      <c r="Y31" s="7">
        <f t="shared" si="11"/>
        <v>3.4789893695230667E-3</v>
      </c>
      <c r="Z31" s="3">
        <v>128.30999800000001</v>
      </c>
      <c r="AA31" s="7">
        <f t="shared" si="12"/>
        <v>-1.4440463715485463E-2</v>
      </c>
      <c r="AB31" s="3">
        <v>9.44</v>
      </c>
      <c r="AC31" s="7">
        <f t="shared" si="13"/>
        <v>7.4706510138740079E-3</v>
      </c>
      <c r="AD31" s="3">
        <v>68.459424999999996</v>
      </c>
      <c r="AE31" s="7">
        <f t="shared" si="14"/>
        <v>9.2091327972636527E-3</v>
      </c>
      <c r="AF31" s="3">
        <v>68.699996999999996</v>
      </c>
      <c r="AG31" s="7">
        <f t="shared" si="15"/>
        <v>-9.5156284671911173E-3</v>
      </c>
      <c r="AH31" s="3">
        <v>13.44</v>
      </c>
      <c r="AI31" s="7">
        <f t="shared" si="16"/>
        <v>-3.86266094420602E-2</v>
      </c>
      <c r="AJ31" s="3">
        <v>85.978673999999998</v>
      </c>
      <c r="AK31" s="7">
        <f t="shared" si="17"/>
        <v>-3.4467273441513013E-3</v>
      </c>
      <c r="AL31" s="3">
        <v>10.53</v>
      </c>
      <c r="AM31" s="7">
        <f t="shared" si="18"/>
        <v>1.1527377521613813E-2</v>
      </c>
      <c r="AN31" s="3">
        <v>0.27</v>
      </c>
      <c r="AO31" s="7">
        <f t="shared" si="19"/>
        <v>0</v>
      </c>
      <c r="AP31" s="3">
        <v>9.0299999999999994</v>
      </c>
      <c r="AQ31" s="7">
        <f t="shared" si="20"/>
        <v>-6.6006600660066805E-3</v>
      </c>
    </row>
    <row r="32" spans="1:43" x14ac:dyDescent="0.3">
      <c r="A32" s="4">
        <v>42649</v>
      </c>
      <c r="B32" s="3">
        <v>18268.5</v>
      </c>
      <c r="C32" s="7">
        <f t="shared" si="0"/>
        <v>-6.8537152894654341E-4</v>
      </c>
      <c r="D32" s="3">
        <v>113.308249</v>
      </c>
      <c r="E32" s="7">
        <f t="shared" si="1"/>
        <v>7.430302278927714E-3</v>
      </c>
      <c r="F32" s="3">
        <v>108.55999799999999</v>
      </c>
      <c r="G32" s="7">
        <f t="shared" si="2"/>
        <v>-2.2059282479983677E-3</v>
      </c>
      <c r="H32" s="3">
        <v>57.740001999999997</v>
      </c>
      <c r="I32" s="7">
        <f t="shared" si="3"/>
        <v>1.7349583923482736E-3</v>
      </c>
      <c r="J32" s="3">
        <v>38.719997999999997</v>
      </c>
      <c r="K32" s="7">
        <f t="shared" si="4"/>
        <v>-7.1520442104551218E-3</v>
      </c>
      <c r="L32" s="3">
        <v>90.93</v>
      </c>
      <c r="M32" s="7">
        <f t="shared" si="5"/>
        <v>-3.2980431321227854E-4</v>
      </c>
      <c r="N32" s="3">
        <v>16.219999000000001</v>
      </c>
      <c r="O32" s="7">
        <f t="shared" si="6"/>
        <v>6.8279325370619315E-3</v>
      </c>
      <c r="P32" s="3">
        <v>48.908251999999997</v>
      </c>
      <c r="Q32" s="7">
        <f t="shared" si="7"/>
        <v>8.6330401428642567E-3</v>
      </c>
      <c r="R32" s="3">
        <v>7.45</v>
      </c>
      <c r="S32" s="7">
        <f t="shared" si="8"/>
        <v>-3.2467532467532423E-2</v>
      </c>
      <c r="T32" s="3">
        <v>67.870002999999997</v>
      </c>
      <c r="U32" s="7">
        <f t="shared" si="9"/>
        <v>2.65919625766875E-3</v>
      </c>
      <c r="V32" s="3">
        <v>44.806691999999998</v>
      </c>
      <c r="W32" s="7">
        <f t="shared" si="10"/>
        <v>4.2231361628757291E-3</v>
      </c>
      <c r="X32" s="3">
        <v>149.01137800000001</v>
      </c>
      <c r="Y32" s="7">
        <f t="shared" si="11"/>
        <v>-3.4004190267553636E-3</v>
      </c>
      <c r="Z32" s="3">
        <v>130.19000199999999</v>
      </c>
      <c r="AA32" s="7">
        <f t="shared" si="12"/>
        <v>2.0457751678041092E-2</v>
      </c>
      <c r="AB32" s="3">
        <v>9.3699999999999992</v>
      </c>
      <c r="AC32" s="7">
        <f t="shared" si="13"/>
        <v>3.9955604883462836E-2</v>
      </c>
      <c r="AD32" s="3">
        <v>67.834726000000003</v>
      </c>
      <c r="AE32" s="7">
        <f t="shared" si="14"/>
        <v>9.8908515503730587E-3</v>
      </c>
      <c r="AF32" s="3">
        <v>69.360000999999997</v>
      </c>
      <c r="AG32" s="7">
        <f t="shared" si="15"/>
        <v>-3.2231018061421035E-2</v>
      </c>
      <c r="AH32" s="3">
        <v>13.98</v>
      </c>
      <c r="AI32" s="7">
        <f t="shared" si="16"/>
        <v>-7.4172185430463555E-2</v>
      </c>
      <c r="AJ32" s="3">
        <v>86.276043999999999</v>
      </c>
      <c r="AK32" s="7">
        <f t="shared" si="17"/>
        <v>4.5978267597779343E-4</v>
      </c>
      <c r="AL32" s="3">
        <v>10.41</v>
      </c>
      <c r="AM32" s="7">
        <f t="shared" si="18"/>
        <v>4.8338368580060465E-2</v>
      </c>
      <c r="AN32" s="3">
        <v>0.27</v>
      </c>
      <c r="AO32" s="7">
        <f t="shared" si="19"/>
        <v>0</v>
      </c>
      <c r="AP32" s="3">
        <v>9.09</v>
      </c>
      <c r="AQ32" s="7">
        <f t="shared" si="20"/>
        <v>2.134831460674147E-2</v>
      </c>
    </row>
    <row r="33" spans="1:43" x14ac:dyDescent="0.3">
      <c r="A33" s="4">
        <v>42648</v>
      </c>
      <c r="B33" s="3">
        <v>18281.029297000001</v>
      </c>
      <c r="C33" s="7">
        <f t="shared" si="0"/>
        <v>6.1964605037545528E-3</v>
      </c>
      <c r="D33" s="3">
        <v>112.472544</v>
      </c>
      <c r="E33" s="7">
        <f t="shared" si="1"/>
        <v>4.4250811908286281E-4</v>
      </c>
      <c r="F33" s="3">
        <v>108.800003</v>
      </c>
      <c r="G33" s="7">
        <f t="shared" si="2"/>
        <v>3.7826737132824473E-3</v>
      </c>
      <c r="H33" s="3">
        <v>57.639999000000003</v>
      </c>
      <c r="I33" s="7">
        <f t="shared" si="3"/>
        <v>6.9880675405986636E-3</v>
      </c>
      <c r="J33" s="3">
        <v>38.998919999999998</v>
      </c>
      <c r="K33" s="7">
        <f t="shared" si="4"/>
        <v>7.2035644216716932E-3</v>
      </c>
      <c r="L33" s="3">
        <v>90.959998999999996</v>
      </c>
      <c r="M33" s="7">
        <f t="shared" si="5"/>
        <v>4.3060505686209893E-3</v>
      </c>
      <c r="N33" s="3">
        <v>16.110001</v>
      </c>
      <c r="O33" s="7">
        <f t="shared" si="6"/>
        <v>1.9620316455696285E-2</v>
      </c>
      <c r="P33" s="3">
        <v>48.489638999999997</v>
      </c>
      <c r="Q33" s="7">
        <f t="shared" si="7"/>
        <v>1.8848201707979628E-2</v>
      </c>
      <c r="R33" s="3">
        <v>7.7</v>
      </c>
      <c r="S33" s="7">
        <f t="shared" si="8"/>
        <v>1.3003901170349774E-3</v>
      </c>
      <c r="T33" s="3">
        <v>67.690002000000007</v>
      </c>
      <c r="U33" s="7">
        <f t="shared" si="9"/>
        <v>1.6366426917910903E-2</v>
      </c>
      <c r="V33" s="3">
        <v>44.618262999999999</v>
      </c>
      <c r="W33" s="7">
        <f t="shared" si="10"/>
        <v>2.8342897348369256E-2</v>
      </c>
      <c r="X33" s="3">
        <v>149.51980800000001</v>
      </c>
      <c r="Y33" s="7">
        <f t="shared" si="11"/>
        <v>-3.3227018729730107E-3</v>
      </c>
      <c r="Z33" s="3">
        <v>127.58000199999999</v>
      </c>
      <c r="AA33" s="7">
        <f t="shared" si="12"/>
        <v>-4.8361545593483823E-3</v>
      </c>
      <c r="AB33" s="3">
        <v>9.01</v>
      </c>
      <c r="AC33" s="7">
        <f t="shared" si="13"/>
        <v>2.2246941045604984E-3</v>
      </c>
      <c r="AD33" s="3">
        <v>67.170354000000003</v>
      </c>
      <c r="AE33" s="7">
        <f t="shared" si="14"/>
        <v>-1.3255709270614147E-2</v>
      </c>
      <c r="AF33" s="3">
        <v>71.669998000000007</v>
      </c>
      <c r="AG33" s="7">
        <f t="shared" si="15"/>
        <v>-1.1150104529615845E-3</v>
      </c>
      <c r="AH33" s="3">
        <v>15.1</v>
      </c>
      <c r="AI33" s="7">
        <f t="shared" si="16"/>
        <v>0.10785033015407186</v>
      </c>
      <c r="AJ33" s="3">
        <v>86.236394000000004</v>
      </c>
      <c r="AK33" s="7">
        <f t="shared" si="17"/>
        <v>8.6956499362516038E-3</v>
      </c>
      <c r="AL33" s="3">
        <v>9.93</v>
      </c>
      <c r="AM33" s="7">
        <f t="shared" si="18"/>
        <v>3.5453597497393075E-2</v>
      </c>
      <c r="AN33" s="3">
        <v>0.27</v>
      </c>
      <c r="AO33" s="7">
        <f t="shared" si="19"/>
        <v>0</v>
      </c>
      <c r="AP33" s="3">
        <v>8.9</v>
      </c>
      <c r="AQ33" s="7">
        <f t="shared" si="20"/>
        <v>4.952830188679247E-2</v>
      </c>
    </row>
    <row r="34" spans="1:43" x14ac:dyDescent="0.3">
      <c r="A34" s="4">
        <v>42647</v>
      </c>
      <c r="B34" s="3">
        <v>18168.449218999998</v>
      </c>
      <c r="C34" s="7">
        <f t="shared" si="0"/>
        <v>-4.6784865564958311E-3</v>
      </c>
      <c r="D34" s="3">
        <v>112.42279600000001</v>
      </c>
      <c r="E34" s="7">
        <f t="shared" si="1"/>
        <v>4.2659337607418024E-3</v>
      </c>
      <c r="F34" s="3">
        <v>108.389999</v>
      </c>
      <c r="G34" s="7">
        <f t="shared" si="2"/>
        <v>-5.5323191940703786E-4</v>
      </c>
      <c r="H34" s="3">
        <v>57.240001999999997</v>
      </c>
      <c r="I34" s="7">
        <f t="shared" si="3"/>
        <v>-3.1347266852917999E-3</v>
      </c>
      <c r="J34" s="3">
        <v>38.719997999999997</v>
      </c>
      <c r="K34" s="7">
        <f t="shared" si="4"/>
        <v>-3.0777915020513413E-3</v>
      </c>
      <c r="L34" s="3">
        <v>90.57</v>
      </c>
      <c r="M34" s="7">
        <f t="shared" si="5"/>
        <v>-3.5207283916903753E-3</v>
      </c>
      <c r="N34" s="3">
        <v>15.8</v>
      </c>
      <c r="O34" s="7">
        <f t="shared" si="6"/>
        <v>1.0876519513755678E-2</v>
      </c>
      <c r="P34" s="3">
        <v>47.592604000000001</v>
      </c>
      <c r="Q34" s="7">
        <f t="shared" si="7"/>
        <v>1.5309405171748836E-2</v>
      </c>
      <c r="R34" s="3">
        <v>7.69</v>
      </c>
      <c r="S34" s="7">
        <f t="shared" si="8"/>
        <v>1.1842105263158098E-2</v>
      </c>
      <c r="T34" s="3">
        <v>66.599997999999999</v>
      </c>
      <c r="U34" s="7">
        <f t="shared" si="9"/>
        <v>8.6323484093684399E-3</v>
      </c>
      <c r="V34" s="3">
        <v>43.388506999999997</v>
      </c>
      <c r="W34" s="7">
        <f t="shared" si="10"/>
        <v>-1.825280147294106E-3</v>
      </c>
      <c r="X34" s="3">
        <v>150.01827399999999</v>
      </c>
      <c r="Y34" s="7">
        <f t="shared" si="11"/>
        <v>-3.5096896147391865E-3</v>
      </c>
      <c r="Z34" s="3">
        <v>128.199997</v>
      </c>
      <c r="AA34" s="7">
        <f t="shared" si="12"/>
        <v>-2.3346536964981013E-3</v>
      </c>
      <c r="AB34" s="3">
        <v>8.99</v>
      </c>
      <c r="AC34" s="7">
        <f t="shared" si="13"/>
        <v>-2.2197558268589601E-3</v>
      </c>
      <c r="AD34" s="3">
        <v>68.072705999999997</v>
      </c>
      <c r="AE34" s="7">
        <f t="shared" si="14"/>
        <v>-4.3678309849992658E-4</v>
      </c>
      <c r="AF34" s="3">
        <v>71.75</v>
      </c>
      <c r="AG34" s="7">
        <f t="shared" si="15"/>
        <v>-3.6106373111890466E-3</v>
      </c>
      <c r="AH34" s="3">
        <v>13.63</v>
      </c>
      <c r="AI34" s="7">
        <f t="shared" si="16"/>
        <v>-1.160261058738199E-2</v>
      </c>
      <c r="AJ34" s="3">
        <v>85.492976999999996</v>
      </c>
      <c r="AK34" s="7">
        <f t="shared" si="17"/>
        <v>-9.1901511947053427E-3</v>
      </c>
      <c r="AL34" s="3">
        <v>9.59</v>
      </c>
      <c r="AM34" s="7">
        <f t="shared" si="18"/>
        <v>-1.134020618556697E-2</v>
      </c>
      <c r="AN34" s="3">
        <v>0.27</v>
      </c>
      <c r="AO34" s="7">
        <f t="shared" si="19"/>
        <v>0</v>
      </c>
      <c r="AP34" s="3">
        <v>8.48</v>
      </c>
      <c r="AQ34" s="7">
        <f t="shared" si="20"/>
        <v>-4.8260381593714929E-2</v>
      </c>
    </row>
    <row r="35" spans="1:43" x14ac:dyDescent="0.3">
      <c r="A35" s="4">
        <v>42646</v>
      </c>
      <c r="B35" s="3">
        <v>18253.849609000001</v>
      </c>
      <c r="C35" s="7">
        <f t="shared" si="0"/>
        <v>-2.9659348891241111E-3</v>
      </c>
      <c r="D35" s="3">
        <v>111.945245</v>
      </c>
      <c r="E35" s="7">
        <f t="shared" si="1"/>
        <v>-4.6882464043846994E-3</v>
      </c>
      <c r="F35" s="3">
        <v>108.449997</v>
      </c>
      <c r="G35" s="7">
        <f t="shared" si="2"/>
        <v>-8.2922424148501594E-4</v>
      </c>
      <c r="H35" s="3">
        <v>57.419998</v>
      </c>
      <c r="I35" s="7">
        <f t="shared" si="3"/>
        <v>-3.1250001085069146E-3</v>
      </c>
      <c r="J35" s="3">
        <v>38.839537999999997</v>
      </c>
      <c r="K35" s="7">
        <f t="shared" si="4"/>
        <v>-7.3828186655959804E-3</v>
      </c>
      <c r="L35" s="3">
        <v>90.889999000000003</v>
      </c>
      <c r="M35" s="7">
        <f t="shared" si="5"/>
        <v>-5.6887099578291078E-3</v>
      </c>
      <c r="N35" s="3">
        <v>15.63</v>
      </c>
      <c r="O35" s="7">
        <f t="shared" si="6"/>
        <v>-1.2779552715654896E-3</v>
      </c>
      <c r="P35" s="3">
        <v>46.874975999999997</v>
      </c>
      <c r="Q35" s="7">
        <f t="shared" si="7"/>
        <v>-4.2346020654957517E-3</v>
      </c>
      <c r="R35" s="3">
        <v>7.6</v>
      </c>
      <c r="S35" s="7">
        <f t="shared" si="8"/>
        <v>1.7402945113788482E-2</v>
      </c>
      <c r="T35" s="3">
        <v>66.030004000000005</v>
      </c>
      <c r="U35" s="7">
        <f t="shared" si="9"/>
        <v>-1.2012962570038255E-3</v>
      </c>
      <c r="V35" s="3">
        <v>43.467847999999996</v>
      </c>
      <c r="W35" s="7">
        <f t="shared" si="10"/>
        <v>-1.0162538355823481E-2</v>
      </c>
      <c r="X35" s="3">
        <v>150.54664600000001</v>
      </c>
      <c r="Y35" s="7">
        <f t="shared" si="11"/>
        <v>-9.8354242067411057E-3</v>
      </c>
      <c r="Z35" s="3">
        <v>128.5</v>
      </c>
      <c r="AA35" s="7">
        <f t="shared" si="12"/>
        <v>-1.3987644528391519E-3</v>
      </c>
      <c r="AB35" s="3">
        <v>9.01</v>
      </c>
      <c r="AC35" s="7">
        <f t="shared" si="13"/>
        <v>-2.2776572668112838E-2</v>
      </c>
      <c r="AD35" s="3">
        <v>68.102452</v>
      </c>
      <c r="AE35" s="7">
        <f t="shared" si="14"/>
        <v>0</v>
      </c>
      <c r="AF35" s="3">
        <v>72.010002</v>
      </c>
      <c r="AG35" s="7">
        <f t="shared" si="15"/>
        <v>-1.5252495205803074E-3</v>
      </c>
      <c r="AH35" s="3">
        <v>13.79</v>
      </c>
      <c r="AI35" s="7">
        <f t="shared" si="16"/>
        <v>-1.6405135520684788E-2</v>
      </c>
      <c r="AJ35" s="3">
        <v>86.285957999999994</v>
      </c>
      <c r="AK35" s="7">
        <f t="shared" si="17"/>
        <v>-2.6351477366046705E-3</v>
      </c>
      <c r="AL35" s="3">
        <v>9.6999999999999993</v>
      </c>
      <c r="AM35" s="7">
        <f t="shared" si="18"/>
        <v>3.9657020364415763E-2</v>
      </c>
      <c r="AN35" s="3">
        <v>0.27</v>
      </c>
      <c r="AO35" s="7">
        <f t="shared" si="19"/>
        <v>-3.5714285714285698E-2</v>
      </c>
      <c r="AP35" s="3">
        <v>8.91</v>
      </c>
      <c r="AQ35" s="7">
        <f t="shared" si="20"/>
        <v>1.9450800915331801E-2</v>
      </c>
    </row>
    <row r="36" spans="1:43" x14ac:dyDescent="0.3">
      <c r="A36" s="4">
        <v>42643</v>
      </c>
      <c r="B36" s="3">
        <v>18308.150390999999</v>
      </c>
      <c r="C36" s="7">
        <f t="shared" si="0"/>
        <v>9.077721110907877E-3</v>
      </c>
      <c r="D36" s="3">
        <v>112.472544</v>
      </c>
      <c r="E36" s="7">
        <f t="shared" si="1"/>
        <v>7.7554196092655125E-3</v>
      </c>
      <c r="F36" s="3">
        <v>108.540001</v>
      </c>
      <c r="G36" s="7">
        <f t="shared" si="2"/>
        <v>6.8645452635098803E-3</v>
      </c>
      <c r="H36" s="3">
        <v>57.599997999999999</v>
      </c>
      <c r="I36" s="7">
        <f t="shared" si="3"/>
        <v>3.4842507496777309E-3</v>
      </c>
      <c r="J36" s="3">
        <v>39.128416000000001</v>
      </c>
      <c r="K36" s="7">
        <f t="shared" si="4"/>
        <v>4.0899911475862361E-3</v>
      </c>
      <c r="L36" s="3">
        <v>91.410004000000001</v>
      </c>
      <c r="M36" s="7">
        <f t="shared" si="5"/>
        <v>2.0884554155857105E-2</v>
      </c>
      <c r="N36" s="3">
        <v>15.65</v>
      </c>
      <c r="O36" s="7">
        <f t="shared" si="6"/>
        <v>3.2321899736147852E-2</v>
      </c>
      <c r="P36" s="3">
        <v>47.074317000000001</v>
      </c>
      <c r="Q36" s="7">
        <f t="shared" si="7"/>
        <v>3.1222699995537617E-2</v>
      </c>
      <c r="R36" s="3">
        <v>7.47</v>
      </c>
      <c r="S36" s="7">
        <f t="shared" si="8"/>
        <v>8.0971659919026884E-3</v>
      </c>
      <c r="T36" s="3">
        <v>66.109420999999998</v>
      </c>
      <c r="U36" s="7">
        <f t="shared" si="9"/>
        <v>1.4318276561340326E-2</v>
      </c>
      <c r="V36" s="3">
        <v>43.914127000000001</v>
      </c>
      <c r="W36" s="7">
        <f t="shared" si="10"/>
        <v>-2.0283894990528184E-3</v>
      </c>
      <c r="X36" s="3">
        <v>152.042044</v>
      </c>
      <c r="Y36" s="7">
        <f t="shared" si="11"/>
        <v>3.4036129759533962E-2</v>
      </c>
      <c r="Z36" s="3">
        <v>128.679993</v>
      </c>
      <c r="AA36" s="7">
        <f t="shared" si="12"/>
        <v>5.8625263816147744E-3</v>
      </c>
      <c r="AB36" s="3">
        <v>9.2200000000000006</v>
      </c>
      <c r="AC36" s="7">
        <f t="shared" si="13"/>
        <v>-3.2432432432432101E-3</v>
      </c>
      <c r="AD36" s="3">
        <v>68.102452</v>
      </c>
      <c r="AE36" s="7">
        <f t="shared" si="14"/>
        <v>1.4176002135858123E-2</v>
      </c>
      <c r="AF36" s="3">
        <v>72.120002999999997</v>
      </c>
      <c r="AG36" s="7">
        <f t="shared" si="15"/>
        <v>1.9652197667798799E-2</v>
      </c>
      <c r="AH36" s="3">
        <v>14.02</v>
      </c>
      <c r="AI36" s="7">
        <f t="shared" si="16"/>
        <v>3.5790980672869566E-3</v>
      </c>
      <c r="AJ36" s="3">
        <v>86.513935000000004</v>
      </c>
      <c r="AK36" s="7">
        <f t="shared" si="17"/>
        <v>9.4841453262934916E-3</v>
      </c>
      <c r="AL36" s="3">
        <v>9.33</v>
      </c>
      <c r="AM36" s="7">
        <f t="shared" si="18"/>
        <v>6.4724919093852584E-3</v>
      </c>
      <c r="AN36" s="3">
        <v>0.28000000000000003</v>
      </c>
      <c r="AO36" s="7">
        <f t="shared" si="19"/>
        <v>0</v>
      </c>
      <c r="AP36" s="3">
        <v>8.74</v>
      </c>
      <c r="AQ36" s="7">
        <f t="shared" si="20"/>
        <v>1.1574074074073959E-2</v>
      </c>
    </row>
    <row r="37" spans="1:43" x14ac:dyDescent="0.3">
      <c r="A37" s="4">
        <v>42642</v>
      </c>
      <c r="B37" s="3">
        <v>18143.449218999998</v>
      </c>
      <c r="C37" s="7">
        <f t="shared" si="0"/>
        <v>-1.0676070137137783E-2</v>
      </c>
      <c r="D37" s="3">
        <v>111.60698499999999</v>
      </c>
      <c r="E37" s="7">
        <f t="shared" si="1"/>
        <v>-1.5533095159001808E-2</v>
      </c>
      <c r="F37" s="3">
        <v>107.800003</v>
      </c>
      <c r="G37" s="7">
        <f t="shared" si="2"/>
        <v>-1.5435154177279253E-2</v>
      </c>
      <c r="H37" s="3">
        <v>57.400002000000001</v>
      </c>
      <c r="I37" s="7">
        <f t="shared" si="3"/>
        <v>-1.0856402048188829E-2</v>
      </c>
      <c r="J37" s="3">
        <v>38.969033000000003</v>
      </c>
      <c r="K37" s="7">
        <f t="shared" si="4"/>
        <v>-8.1135878371192405E-3</v>
      </c>
      <c r="L37" s="3">
        <v>89.540001000000004</v>
      </c>
      <c r="M37" s="7">
        <f t="shared" si="5"/>
        <v>-2.7584719209714947E-2</v>
      </c>
      <c r="N37" s="3">
        <v>15.16</v>
      </c>
      <c r="O37" s="7">
        <f t="shared" si="6"/>
        <v>-1.4304291287386306E-2</v>
      </c>
      <c r="P37" s="3">
        <v>45.649031000000001</v>
      </c>
      <c r="Q37" s="7">
        <f t="shared" si="7"/>
        <v>-2.2829080958413295E-2</v>
      </c>
      <c r="R37" s="3">
        <v>7.41</v>
      </c>
      <c r="S37" s="7">
        <f t="shared" si="8"/>
        <v>-5.8449809402795427E-2</v>
      </c>
      <c r="T37" s="3">
        <v>65.176209999999998</v>
      </c>
      <c r="U37" s="7">
        <f t="shared" si="9"/>
        <v>-1.5889640840436425E-2</v>
      </c>
      <c r="V37" s="3">
        <v>44.003382999999999</v>
      </c>
      <c r="W37" s="7">
        <f t="shared" si="10"/>
        <v>-2.0746036679721747E-2</v>
      </c>
      <c r="X37" s="3">
        <v>147.03745799999999</v>
      </c>
      <c r="Y37" s="7">
        <f t="shared" si="11"/>
        <v>-1.2850532990371755E-2</v>
      </c>
      <c r="Z37" s="3">
        <v>127.93</v>
      </c>
      <c r="AA37" s="7">
        <f t="shared" si="12"/>
        <v>-2.6506898682251423E-3</v>
      </c>
      <c r="AB37" s="3">
        <v>9.25</v>
      </c>
      <c r="AC37" s="7">
        <f t="shared" si="13"/>
        <v>-3.1413612565445059E-2</v>
      </c>
      <c r="AD37" s="3">
        <v>67.150525999999999</v>
      </c>
      <c r="AE37" s="7">
        <f t="shared" si="14"/>
        <v>-1.4744753298766566E-3</v>
      </c>
      <c r="AF37" s="3">
        <v>70.730002999999996</v>
      </c>
      <c r="AG37" s="7">
        <f t="shared" si="15"/>
        <v>-1.4765259579812562E-2</v>
      </c>
      <c r="AH37" s="3">
        <v>13.97</v>
      </c>
      <c r="AI37" s="7">
        <f t="shared" si="16"/>
        <v>5.3544494720965341E-2</v>
      </c>
      <c r="AJ37" s="3">
        <v>85.701132999999999</v>
      </c>
      <c r="AK37" s="7">
        <f t="shared" si="17"/>
        <v>-5.0633132999229336E-3</v>
      </c>
      <c r="AL37" s="3">
        <v>9.27</v>
      </c>
      <c r="AM37" s="7">
        <f t="shared" si="18"/>
        <v>-2.4210526315789571E-2</v>
      </c>
      <c r="AN37" s="3">
        <v>0.28000000000000003</v>
      </c>
      <c r="AO37" s="7">
        <f t="shared" si="19"/>
        <v>0</v>
      </c>
      <c r="AP37" s="3">
        <v>8.64</v>
      </c>
      <c r="AQ37" s="7">
        <f t="shared" si="20"/>
        <v>5.2375152253349544E-2</v>
      </c>
    </row>
    <row r="38" spans="1:43" x14ac:dyDescent="0.3">
      <c r="A38" s="4">
        <v>42641</v>
      </c>
      <c r="B38" s="3">
        <v>18339.240234000001</v>
      </c>
      <c r="C38" s="7">
        <f t="shared" si="0"/>
        <v>6.0861105120471048E-3</v>
      </c>
      <c r="D38" s="3">
        <v>113.36794</v>
      </c>
      <c r="E38" s="7">
        <f t="shared" si="1"/>
        <v>7.604561892783801E-3</v>
      </c>
      <c r="F38" s="3">
        <v>109.489998</v>
      </c>
      <c r="G38" s="7">
        <f t="shared" si="2"/>
        <v>-1.914302695924408E-3</v>
      </c>
      <c r="H38" s="3">
        <v>58.029998999999997</v>
      </c>
      <c r="I38" s="7">
        <f t="shared" si="3"/>
        <v>1.3804658950737903E-3</v>
      </c>
      <c r="J38" s="3">
        <v>39.287798000000002</v>
      </c>
      <c r="K38" s="7">
        <f t="shared" si="4"/>
        <v>3.5623222737497517E-3</v>
      </c>
      <c r="L38" s="3">
        <v>92.080001999999993</v>
      </c>
      <c r="M38" s="7">
        <f t="shared" si="5"/>
        <v>1.1201449839697952E-2</v>
      </c>
      <c r="N38" s="3">
        <v>15.38</v>
      </c>
      <c r="O38" s="7">
        <f t="shared" si="6"/>
        <v>5.886200130804653E-3</v>
      </c>
      <c r="P38" s="3">
        <v>46.715502999999998</v>
      </c>
      <c r="Q38" s="7">
        <f t="shared" si="7"/>
        <v>1.0782815003399504E-2</v>
      </c>
      <c r="R38" s="3">
        <v>7.87</v>
      </c>
      <c r="S38" s="7">
        <f t="shared" si="8"/>
        <v>7.6824583866839102E-3</v>
      </c>
      <c r="T38" s="3">
        <v>66.228558000000007</v>
      </c>
      <c r="U38" s="7">
        <f t="shared" si="9"/>
        <v>5.274245255675547E-3</v>
      </c>
      <c r="V38" s="3">
        <v>44.935619000000003</v>
      </c>
      <c r="W38" s="7">
        <f t="shared" si="10"/>
        <v>4.8791707306110599E-3</v>
      </c>
      <c r="X38" s="3">
        <v>148.95156499999999</v>
      </c>
      <c r="Y38" s="7">
        <f t="shared" si="11"/>
        <v>-6.912549424583192E-3</v>
      </c>
      <c r="Z38" s="3">
        <v>128.270004</v>
      </c>
      <c r="AA38" s="7">
        <f t="shared" si="12"/>
        <v>1.1433559375492841E-2</v>
      </c>
      <c r="AB38" s="3">
        <v>9.5500000000000007</v>
      </c>
      <c r="AC38" s="7">
        <f t="shared" si="13"/>
        <v>0</v>
      </c>
      <c r="AD38" s="3">
        <v>67.249684000000002</v>
      </c>
      <c r="AE38" s="7">
        <f t="shared" si="14"/>
        <v>-6.8824184016795797E-3</v>
      </c>
      <c r="AF38" s="3">
        <v>71.790001000000004</v>
      </c>
      <c r="AG38" s="7">
        <f t="shared" si="15"/>
        <v>-7.4657954523489334E-3</v>
      </c>
      <c r="AH38" s="3">
        <v>13.26</v>
      </c>
      <c r="AI38" s="7">
        <f t="shared" si="16"/>
        <v>0.12087912087912089</v>
      </c>
      <c r="AJ38" s="3">
        <v>86.137272999999993</v>
      </c>
      <c r="AK38" s="7">
        <f t="shared" si="17"/>
        <v>4.3969284273254861E-2</v>
      </c>
      <c r="AL38" s="3">
        <v>9.5</v>
      </c>
      <c r="AM38" s="7">
        <f t="shared" si="18"/>
        <v>4.8565121412803558E-2</v>
      </c>
      <c r="AN38" s="3">
        <v>0.28000000000000003</v>
      </c>
      <c r="AO38" s="7">
        <f t="shared" si="19"/>
        <v>0.12000000000000011</v>
      </c>
      <c r="AP38" s="3">
        <v>8.2100000000000009</v>
      </c>
      <c r="AQ38" s="7">
        <f t="shared" si="20"/>
        <v>0.13554633471645916</v>
      </c>
    </row>
    <row r="39" spans="1:43" x14ac:dyDescent="0.3">
      <c r="A39" s="4">
        <v>42640</v>
      </c>
      <c r="B39" s="3">
        <v>18228.300781000002</v>
      </c>
      <c r="C39" s="7">
        <f t="shared" si="0"/>
        <v>7.3761788546595763E-3</v>
      </c>
      <c r="D39" s="3">
        <v>112.512333</v>
      </c>
      <c r="E39" s="7">
        <f t="shared" si="1"/>
        <v>1.8603799069103477E-3</v>
      </c>
      <c r="F39" s="3">
        <v>109.699997</v>
      </c>
      <c r="G39" s="7">
        <f t="shared" si="2"/>
        <v>2.2748414642020931E-2</v>
      </c>
      <c r="H39" s="3">
        <v>57.950001</v>
      </c>
      <c r="I39" s="7">
        <f t="shared" si="3"/>
        <v>1.8453408841707875E-2</v>
      </c>
      <c r="J39" s="3">
        <v>39.148339</v>
      </c>
      <c r="K39" s="7">
        <f t="shared" si="4"/>
        <v>6.9177800674806722E-3</v>
      </c>
      <c r="L39" s="3">
        <v>91.059997999999993</v>
      </c>
      <c r="M39" s="7">
        <f t="shared" si="5"/>
        <v>3.5265594782136755E-3</v>
      </c>
      <c r="N39" s="3">
        <v>15.29</v>
      </c>
      <c r="O39" s="7">
        <f t="shared" si="6"/>
        <v>1.3253810470510219E-2</v>
      </c>
      <c r="P39" s="3">
        <v>46.217151999999999</v>
      </c>
      <c r="Q39" s="7">
        <f t="shared" si="7"/>
        <v>1.0459799783701929E-2</v>
      </c>
      <c r="R39" s="3">
        <v>7.81</v>
      </c>
      <c r="S39" s="7">
        <f t="shared" si="8"/>
        <v>0</v>
      </c>
      <c r="T39" s="3">
        <v>65.881084999999999</v>
      </c>
      <c r="U39" s="7">
        <f t="shared" si="9"/>
        <v>8.8172977283043075E-3</v>
      </c>
      <c r="V39" s="3">
        <v>44.717435000000002</v>
      </c>
      <c r="W39" s="7">
        <f t="shared" si="10"/>
        <v>4.6791255671780885E-3</v>
      </c>
      <c r="X39" s="3">
        <v>149.98836700000001</v>
      </c>
      <c r="Y39" s="7">
        <f t="shared" si="11"/>
        <v>-4.8945404293676553E-3</v>
      </c>
      <c r="Z39" s="3">
        <v>126.82</v>
      </c>
      <c r="AA39" s="7">
        <f t="shared" si="12"/>
        <v>1.092070970715131E-2</v>
      </c>
      <c r="AB39" s="3">
        <v>9.5500000000000007</v>
      </c>
      <c r="AC39" s="7">
        <f t="shared" si="13"/>
        <v>-2.089864158829613E-3</v>
      </c>
      <c r="AD39" s="3">
        <v>67.715732000000003</v>
      </c>
      <c r="AE39" s="7">
        <f t="shared" si="14"/>
        <v>1.5917864854934294E-2</v>
      </c>
      <c r="AF39" s="3">
        <v>72.330001999999993</v>
      </c>
      <c r="AG39" s="7">
        <f t="shared" si="15"/>
        <v>9.9134176244028982E-3</v>
      </c>
      <c r="AH39" s="3">
        <v>11.83</v>
      </c>
      <c r="AI39" s="7">
        <f t="shared" si="16"/>
        <v>-6.4822134387351849E-2</v>
      </c>
      <c r="AJ39" s="3">
        <v>82.509394</v>
      </c>
      <c r="AK39" s="7">
        <f t="shared" si="17"/>
        <v>2.1671188071590297E-3</v>
      </c>
      <c r="AL39" s="3">
        <v>9.06</v>
      </c>
      <c r="AM39" s="7">
        <f t="shared" si="18"/>
        <v>5.5493895671476778E-3</v>
      </c>
      <c r="AN39" s="3">
        <v>0.25</v>
      </c>
      <c r="AO39" s="7">
        <f t="shared" si="19"/>
        <v>-7.4074074074074181E-2</v>
      </c>
      <c r="AP39" s="3">
        <v>7.23</v>
      </c>
      <c r="AQ39" s="7">
        <f t="shared" si="20"/>
        <v>-3.8563829787233939E-2</v>
      </c>
    </row>
    <row r="40" spans="1:43" x14ac:dyDescent="0.3">
      <c r="A40" s="4">
        <v>42639</v>
      </c>
      <c r="B40" s="3">
        <v>18094.830077999999</v>
      </c>
      <c r="C40" s="7">
        <f t="shared" si="0"/>
        <v>-9.1240919054026426E-3</v>
      </c>
      <c r="D40" s="3">
        <v>112.303406</v>
      </c>
      <c r="E40" s="7">
        <f t="shared" si="1"/>
        <v>1.5082720870442934E-3</v>
      </c>
      <c r="F40" s="3">
        <v>107.260002</v>
      </c>
      <c r="G40" s="7">
        <f t="shared" si="2"/>
        <v>-1.9540243607143459E-3</v>
      </c>
      <c r="H40" s="3">
        <v>56.900002000000001</v>
      </c>
      <c r="I40" s="7">
        <f t="shared" si="3"/>
        <v>-9.2285913285738985E-3</v>
      </c>
      <c r="J40" s="3">
        <v>38.879379999999998</v>
      </c>
      <c r="K40" s="7">
        <f t="shared" si="4"/>
        <v>-5.0981599677717426E-3</v>
      </c>
      <c r="L40" s="3">
        <v>90.739998</v>
      </c>
      <c r="M40" s="7">
        <f t="shared" si="5"/>
        <v>-8.7393815955933984E-3</v>
      </c>
      <c r="N40" s="3">
        <v>15.09</v>
      </c>
      <c r="O40" s="7">
        <f t="shared" si="6"/>
        <v>-2.7706185567010322E-2</v>
      </c>
      <c r="P40" s="3">
        <v>45.738734000000001</v>
      </c>
      <c r="Q40" s="7">
        <f t="shared" si="7"/>
        <v>-2.6723271488545808E-2</v>
      </c>
      <c r="R40" s="3">
        <v>7.81</v>
      </c>
      <c r="S40" s="7">
        <f t="shared" si="8"/>
        <v>-2.0075282308657516E-2</v>
      </c>
      <c r="T40" s="3">
        <v>65.305268999999996</v>
      </c>
      <c r="U40" s="7">
        <f t="shared" si="9"/>
        <v>-2.1858749496234342E-2</v>
      </c>
      <c r="V40" s="3">
        <v>44.509171000000002</v>
      </c>
      <c r="W40" s="7">
        <f t="shared" si="10"/>
        <v>-1.8801943456455361E-2</v>
      </c>
      <c r="X40" s="3">
        <v>150.726102</v>
      </c>
      <c r="Y40" s="7">
        <f t="shared" si="11"/>
        <v>-8.7851344465200709E-3</v>
      </c>
      <c r="Z40" s="3">
        <v>125.449997</v>
      </c>
      <c r="AA40" s="7">
        <f t="shared" si="12"/>
        <v>-1.8311323121438905E-2</v>
      </c>
      <c r="AB40" s="3">
        <v>9.57</v>
      </c>
      <c r="AC40" s="7">
        <f t="shared" si="13"/>
        <v>-2.1472392638036686E-2</v>
      </c>
      <c r="AD40" s="3">
        <v>66.654730999999998</v>
      </c>
      <c r="AE40" s="7">
        <f t="shared" si="14"/>
        <v>-2.2538830683362487E-2</v>
      </c>
      <c r="AF40" s="3">
        <v>71.620002999999997</v>
      </c>
      <c r="AG40" s="7">
        <f t="shared" si="15"/>
        <v>-1.008977222086449E-2</v>
      </c>
      <c r="AH40" s="3">
        <v>12.65</v>
      </c>
      <c r="AI40" s="7">
        <f t="shared" si="16"/>
        <v>1.2000000000000011E-2</v>
      </c>
      <c r="AJ40" s="3">
        <v>82.330973</v>
      </c>
      <c r="AK40" s="7">
        <f t="shared" si="17"/>
        <v>-4.6734460180875015E-3</v>
      </c>
      <c r="AL40" s="3">
        <v>9.01</v>
      </c>
      <c r="AM40" s="7">
        <f t="shared" si="18"/>
        <v>-1.851851851851849E-2</v>
      </c>
      <c r="AN40" s="3">
        <v>0.27</v>
      </c>
      <c r="AO40" s="7">
        <f t="shared" si="19"/>
        <v>-3.5714285714285698E-2</v>
      </c>
      <c r="AP40" s="3">
        <v>7.52</v>
      </c>
      <c r="AQ40" s="7">
        <f t="shared" si="20"/>
        <v>4.0053404539384108E-3</v>
      </c>
    </row>
    <row r="41" spans="1:43" x14ac:dyDescent="0.3">
      <c r="A41" s="4">
        <v>42636</v>
      </c>
      <c r="B41" s="3">
        <v>18261.449218999998</v>
      </c>
      <c r="C41" s="7">
        <f t="shared" si="0"/>
        <v>-7.1231206874183828E-3</v>
      </c>
      <c r="D41" s="3">
        <v>112.134277</v>
      </c>
      <c r="E41" s="7">
        <f t="shared" si="1"/>
        <v>-1.6663786837046057E-2</v>
      </c>
      <c r="F41" s="3">
        <v>107.470001</v>
      </c>
      <c r="G41" s="7">
        <f t="shared" si="2"/>
        <v>-4.1697276532567384E-3</v>
      </c>
      <c r="H41" s="3">
        <v>57.43</v>
      </c>
      <c r="I41" s="7">
        <f t="shared" si="3"/>
        <v>-6.7450709097198747E-3</v>
      </c>
      <c r="J41" s="3">
        <v>39.078609</v>
      </c>
      <c r="K41" s="7">
        <f t="shared" si="4"/>
        <v>-7.0868017930394434E-3</v>
      </c>
      <c r="L41" s="3">
        <v>91.540001000000004</v>
      </c>
      <c r="M41" s="7">
        <f t="shared" si="5"/>
        <v>-8.8783021992387967E-3</v>
      </c>
      <c r="N41" s="3">
        <v>15.52</v>
      </c>
      <c r="O41" s="7">
        <f t="shared" si="6"/>
        <v>-5.12820512820511E-3</v>
      </c>
      <c r="P41" s="3">
        <v>46.994582999999999</v>
      </c>
      <c r="Q41" s="7">
        <f t="shared" si="7"/>
        <v>8.4909472561145449E-4</v>
      </c>
      <c r="R41" s="3">
        <v>7.97</v>
      </c>
      <c r="S41" s="7">
        <f t="shared" si="8"/>
        <v>-2.8048780487804792E-2</v>
      </c>
      <c r="T41" s="3">
        <v>66.764661000000004</v>
      </c>
      <c r="U41" s="7">
        <f t="shared" si="9"/>
        <v>-2.0774501839585513E-3</v>
      </c>
      <c r="V41" s="3">
        <v>45.362065999999999</v>
      </c>
      <c r="W41" s="7">
        <f t="shared" si="10"/>
        <v>4.3745090531599473E-4</v>
      </c>
      <c r="X41" s="3">
        <v>152.06198699999999</v>
      </c>
      <c r="Y41" s="7">
        <f t="shared" si="11"/>
        <v>-4.0482818979941104E-3</v>
      </c>
      <c r="Z41" s="3">
        <v>127.790001</v>
      </c>
      <c r="AA41" s="7">
        <f t="shared" si="12"/>
        <v>-7.4563029126213376E-3</v>
      </c>
      <c r="AB41" s="3">
        <v>9.7799999999999994</v>
      </c>
      <c r="AC41" s="7">
        <f t="shared" si="13"/>
        <v>2.049180327868827E-3</v>
      </c>
      <c r="AD41" s="3">
        <v>68.191692000000003</v>
      </c>
      <c r="AE41" s="7">
        <f t="shared" si="14"/>
        <v>3.0629950735516775E-3</v>
      </c>
      <c r="AF41" s="3">
        <v>72.349997999999999</v>
      </c>
      <c r="AG41" s="7">
        <f t="shared" si="15"/>
        <v>1.106973894021257E-3</v>
      </c>
      <c r="AH41" s="3">
        <v>12.5</v>
      </c>
      <c r="AI41" s="7">
        <f t="shared" si="16"/>
        <v>-3.1758326878388865E-2</v>
      </c>
      <c r="AJ41" s="3">
        <v>82.717549000000005</v>
      </c>
      <c r="AK41" s="7">
        <f t="shared" si="17"/>
        <v>-1.0773757694163555E-3</v>
      </c>
      <c r="AL41" s="3">
        <v>9.18</v>
      </c>
      <c r="AM41" s="7">
        <f t="shared" si="18"/>
        <v>-3.9748953974895529E-2</v>
      </c>
      <c r="AN41" s="3">
        <v>0.28000000000000003</v>
      </c>
      <c r="AO41" s="7">
        <f t="shared" si="19"/>
        <v>0</v>
      </c>
      <c r="AP41" s="3">
        <v>7.49</v>
      </c>
      <c r="AQ41" s="7">
        <f t="shared" si="20"/>
        <v>-5.3097345132743334E-2</v>
      </c>
    </row>
    <row r="42" spans="1:43" x14ac:dyDescent="0.3">
      <c r="A42" s="4">
        <v>42635</v>
      </c>
      <c r="B42" s="3">
        <v>18392.460938</v>
      </c>
      <c r="C42" s="7">
        <f t="shared" si="0"/>
        <v>5.3986740362181873E-3</v>
      </c>
      <c r="D42" s="3">
        <v>114.034524</v>
      </c>
      <c r="E42" s="7">
        <f t="shared" si="1"/>
        <v>9.4231574243743843E-3</v>
      </c>
      <c r="F42" s="3">
        <v>107.91999800000001</v>
      </c>
      <c r="G42" s="7">
        <f t="shared" si="2"/>
        <v>1.298933023742288E-3</v>
      </c>
      <c r="H42" s="3">
        <v>57.82</v>
      </c>
      <c r="I42" s="7">
        <f t="shared" si="3"/>
        <v>1.0388158254437396E-3</v>
      </c>
      <c r="J42" s="3">
        <v>39.357528000000002</v>
      </c>
      <c r="K42" s="7">
        <f t="shared" si="4"/>
        <v>0</v>
      </c>
      <c r="L42" s="3">
        <v>92.360000999999997</v>
      </c>
      <c r="M42" s="7">
        <f t="shared" si="5"/>
        <v>2.2586370682019519E-2</v>
      </c>
      <c r="N42" s="3">
        <v>15.6</v>
      </c>
      <c r="O42" s="7">
        <f t="shared" si="6"/>
        <v>-3.1948881789137795E-3</v>
      </c>
      <c r="P42" s="3">
        <v>46.954714000000003</v>
      </c>
      <c r="Q42" s="7">
        <f t="shared" si="7"/>
        <v>4.4775949859630071E-3</v>
      </c>
      <c r="R42" s="3">
        <v>8.1999999999999993</v>
      </c>
      <c r="S42" s="7">
        <f t="shared" si="8"/>
        <v>1.1097410604192337E-2</v>
      </c>
      <c r="T42" s="3">
        <v>66.903649999999999</v>
      </c>
      <c r="U42" s="7">
        <f t="shared" si="9"/>
        <v>8.2286408808198708E-3</v>
      </c>
      <c r="V42" s="3">
        <v>45.342230999999998</v>
      </c>
      <c r="W42" s="7">
        <f t="shared" si="10"/>
        <v>-2.4001941593647658E-3</v>
      </c>
      <c r="X42" s="3">
        <v>152.68007900000001</v>
      </c>
      <c r="Y42" s="7">
        <f t="shared" si="11"/>
        <v>2.9469335126866003E-3</v>
      </c>
      <c r="Z42" s="3">
        <v>128.75</v>
      </c>
      <c r="AA42" s="7">
        <f t="shared" si="12"/>
        <v>4.9956989696688936E-3</v>
      </c>
      <c r="AB42" s="3">
        <v>9.76</v>
      </c>
      <c r="AC42" s="7">
        <f t="shared" si="13"/>
        <v>-2.4000000000000021E-2</v>
      </c>
      <c r="AD42" s="3">
        <v>67.983458999999996</v>
      </c>
      <c r="AE42" s="7">
        <f t="shared" si="14"/>
        <v>-1.3099228999412404E-2</v>
      </c>
      <c r="AF42" s="3">
        <v>72.269997000000004</v>
      </c>
      <c r="AG42" s="7">
        <f t="shared" si="15"/>
        <v>1.10811743709327E-3</v>
      </c>
      <c r="AH42" s="3">
        <v>12.91</v>
      </c>
      <c r="AI42" s="7">
        <f t="shared" si="16"/>
        <v>2.3291925465838137E-3</v>
      </c>
      <c r="AJ42" s="3">
        <v>82.806763000000004</v>
      </c>
      <c r="AK42" s="7">
        <f t="shared" si="17"/>
        <v>2.8811220770947887E-3</v>
      </c>
      <c r="AL42" s="3">
        <v>9.56</v>
      </c>
      <c r="AM42" s="7">
        <f t="shared" si="18"/>
        <v>5.2576235541534899E-3</v>
      </c>
      <c r="AN42" s="3">
        <v>0.28000000000000003</v>
      </c>
      <c r="AO42" s="7">
        <f t="shared" si="19"/>
        <v>0</v>
      </c>
      <c r="AP42" s="3">
        <v>7.91</v>
      </c>
      <c r="AQ42" s="7">
        <f t="shared" si="20"/>
        <v>5.8902275769745716E-2</v>
      </c>
    </row>
    <row r="43" spans="1:43" x14ac:dyDescent="0.3">
      <c r="A43" s="4">
        <v>42634</v>
      </c>
      <c r="B43" s="3">
        <v>18293.699218999998</v>
      </c>
      <c r="C43" s="7">
        <f t="shared" si="0"/>
        <v>9.0313642461747889E-3</v>
      </c>
      <c r="D43" s="3">
        <v>112.96999</v>
      </c>
      <c r="E43" s="7">
        <f t="shared" si="1"/>
        <v>-1.760688594034665E-4</v>
      </c>
      <c r="F43" s="3">
        <v>107.779999</v>
      </c>
      <c r="G43" s="7">
        <f t="shared" si="2"/>
        <v>7.1158773469724546E-2</v>
      </c>
      <c r="H43" s="3">
        <v>57.759998000000003</v>
      </c>
      <c r="I43" s="7">
        <f t="shared" si="3"/>
        <v>1.6722354924795679E-2</v>
      </c>
      <c r="J43" s="3">
        <v>39.357528000000002</v>
      </c>
      <c r="K43" s="7">
        <f t="shared" si="4"/>
        <v>1.126181154625705E-2</v>
      </c>
      <c r="L43" s="3">
        <v>90.32</v>
      </c>
      <c r="M43" s="7">
        <f t="shared" si="5"/>
        <v>1.4375550153014727E-2</v>
      </c>
      <c r="N43" s="3">
        <v>15.65</v>
      </c>
      <c r="O43" s="7">
        <f t="shared" si="6"/>
        <v>3.2051282051281937E-3</v>
      </c>
      <c r="P43" s="3">
        <v>46.745407</v>
      </c>
      <c r="Q43" s="7">
        <f t="shared" si="7"/>
        <v>7.735295411758436E-3</v>
      </c>
      <c r="R43" s="3">
        <v>8.11</v>
      </c>
      <c r="S43" s="7">
        <f t="shared" si="8"/>
        <v>8.7064676616914749E-3</v>
      </c>
      <c r="T43" s="3">
        <v>66.357617000000005</v>
      </c>
      <c r="U43" s="7">
        <f t="shared" si="9"/>
        <v>5.7176861200003426E-3</v>
      </c>
      <c r="V43" s="3">
        <v>45.451323000000002</v>
      </c>
      <c r="W43" s="7">
        <f t="shared" si="10"/>
        <v>-1.5678667096622356E-2</v>
      </c>
      <c r="X43" s="3">
        <v>152.23146299999999</v>
      </c>
      <c r="Y43" s="7">
        <f t="shared" si="11"/>
        <v>3.4829349653791031E-3</v>
      </c>
      <c r="Z43" s="3">
        <v>128.11000100000001</v>
      </c>
      <c r="AA43" s="7">
        <f t="shared" si="12"/>
        <v>1.0092241424075832E-2</v>
      </c>
      <c r="AB43" s="3">
        <v>10</v>
      </c>
      <c r="AC43" s="7">
        <f t="shared" si="13"/>
        <v>2.0408163265306145E-2</v>
      </c>
      <c r="AD43" s="3">
        <v>68.885810000000006</v>
      </c>
      <c r="AE43" s="7">
        <f t="shared" si="14"/>
        <v>1.2387042133191306E-2</v>
      </c>
      <c r="AF43" s="3">
        <v>72.190002000000007</v>
      </c>
      <c r="AG43" s="7">
        <f t="shared" si="15"/>
        <v>3.0568430866078078E-3</v>
      </c>
      <c r="AH43" s="3">
        <v>12.88</v>
      </c>
      <c r="AI43" s="7">
        <f t="shared" si="16"/>
        <v>6.7993366500829211E-2</v>
      </c>
      <c r="AJ43" s="3">
        <v>82.568871999999999</v>
      </c>
      <c r="AK43" s="7">
        <f t="shared" si="17"/>
        <v>9.207676081980587E-3</v>
      </c>
      <c r="AL43" s="3">
        <v>9.51</v>
      </c>
      <c r="AM43" s="7">
        <f t="shared" si="18"/>
        <v>3.1453362255965178E-2</v>
      </c>
      <c r="AN43" s="3">
        <v>0.28000000000000003</v>
      </c>
      <c r="AO43" s="7">
        <f t="shared" si="19"/>
        <v>3.7037037037036979E-2</v>
      </c>
      <c r="AP43" s="3">
        <v>7.47</v>
      </c>
      <c r="AQ43" s="7">
        <f t="shared" si="20"/>
        <v>8.8921282798833712E-2</v>
      </c>
    </row>
    <row r="44" spans="1:43" x14ac:dyDescent="0.3">
      <c r="A44" s="4">
        <v>42633</v>
      </c>
      <c r="B44" s="3">
        <v>18129.960938</v>
      </c>
      <c r="C44" s="7">
        <f t="shared" si="0"/>
        <v>5.4033797928743077E-4</v>
      </c>
      <c r="D44" s="3">
        <v>112.989884</v>
      </c>
      <c r="E44" s="7">
        <f t="shared" si="1"/>
        <v>-8.8062075488837266E-5</v>
      </c>
      <c r="F44" s="3">
        <v>100.620003</v>
      </c>
      <c r="G44" s="7">
        <f t="shared" si="2"/>
        <v>9.4302066613161095E-3</v>
      </c>
      <c r="H44" s="3">
        <v>56.810001</v>
      </c>
      <c r="I44" s="7">
        <f t="shared" si="3"/>
        <v>-2.1078341823291824E-3</v>
      </c>
      <c r="J44" s="3">
        <v>38.919226999999999</v>
      </c>
      <c r="K44" s="7">
        <f t="shared" si="4"/>
        <v>-4.0784972668806985E-3</v>
      </c>
      <c r="L44" s="3">
        <v>89.040001000000004</v>
      </c>
      <c r="M44" s="7">
        <f t="shared" si="5"/>
        <v>1.0784482269700746E-2</v>
      </c>
      <c r="N44" s="3">
        <v>15.6</v>
      </c>
      <c r="O44" s="7">
        <f t="shared" si="6"/>
        <v>6.4143681847328438E-4</v>
      </c>
      <c r="P44" s="3">
        <v>46.386592999999998</v>
      </c>
      <c r="Q44" s="7">
        <f t="shared" si="7"/>
        <v>-1.073187627609995E-3</v>
      </c>
      <c r="R44" s="3">
        <v>8.0399999999999991</v>
      </c>
      <c r="S44" s="7">
        <f t="shared" si="8"/>
        <v>4.9999999999998934E-3</v>
      </c>
      <c r="T44" s="3">
        <v>65.980362</v>
      </c>
      <c r="U44" s="7">
        <f t="shared" si="9"/>
        <v>4.0791136954938523E-3</v>
      </c>
      <c r="V44" s="3">
        <v>46.175289999999997</v>
      </c>
      <c r="W44" s="7">
        <f t="shared" si="10"/>
        <v>1.1953977827487972E-2</v>
      </c>
      <c r="X44" s="3">
        <v>151.703091</v>
      </c>
      <c r="Y44" s="7">
        <f t="shared" si="11"/>
        <v>2.5034916412471908E-3</v>
      </c>
      <c r="Z44" s="3">
        <v>126.83000199999999</v>
      </c>
      <c r="AA44" s="7">
        <f t="shared" si="12"/>
        <v>4.2758808751612865E-3</v>
      </c>
      <c r="AB44" s="3">
        <v>9.8000000000000007</v>
      </c>
      <c r="AC44" s="7">
        <f t="shared" si="13"/>
        <v>-2.874132804757179E-2</v>
      </c>
      <c r="AD44" s="3">
        <v>68.042958999999996</v>
      </c>
      <c r="AE44" s="7">
        <f t="shared" si="14"/>
        <v>-3.9192404526467994E-3</v>
      </c>
      <c r="AF44" s="3">
        <v>71.970000999999996</v>
      </c>
      <c r="AG44" s="7">
        <f t="shared" si="15"/>
        <v>-1.6645166688593616E-3</v>
      </c>
      <c r="AH44" s="3">
        <v>12.06</v>
      </c>
      <c r="AI44" s="7">
        <f t="shared" si="16"/>
        <v>-6.5897858319604596E-3</v>
      </c>
      <c r="AJ44" s="3">
        <v>81.815540999999996</v>
      </c>
      <c r="AK44" s="7">
        <f t="shared" si="17"/>
        <v>-1.5388290730550147E-2</v>
      </c>
      <c r="AL44" s="3">
        <v>9.2200000000000006</v>
      </c>
      <c r="AM44" s="7">
        <f t="shared" si="18"/>
        <v>1.3186813186813362E-2</v>
      </c>
      <c r="AN44" s="3">
        <v>0.27</v>
      </c>
      <c r="AO44" s="7">
        <f t="shared" si="19"/>
        <v>0</v>
      </c>
      <c r="AP44" s="3">
        <v>6.86</v>
      </c>
      <c r="AQ44" s="7">
        <f t="shared" si="20"/>
        <v>-1.5781922525107572E-2</v>
      </c>
    </row>
    <row r="45" spans="1:43" x14ac:dyDescent="0.3">
      <c r="A45" s="4">
        <v>42632</v>
      </c>
      <c r="B45" s="3">
        <v>18120.169922000001</v>
      </c>
      <c r="C45" s="7">
        <f t="shared" si="0"/>
        <v>-2.0033651019868426E-4</v>
      </c>
      <c r="D45" s="3">
        <v>112.999835</v>
      </c>
      <c r="E45" s="7">
        <f t="shared" si="1"/>
        <v>-1.1660256895063892E-2</v>
      </c>
      <c r="F45" s="3">
        <v>99.68</v>
      </c>
      <c r="G45" s="7">
        <f t="shared" si="2"/>
        <v>7.581117962195405E-3</v>
      </c>
      <c r="H45" s="3">
        <v>56.93</v>
      </c>
      <c r="I45" s="7">
        <f t="shared" si="3"/>
        <v>-5.5895196506550171E-3</v>
      </c>
      <c r="J45" s="3">
        <v>39.078609</v>
      </c>
      <c r="K45" s="7">
        <f t="shared" si="4"/>
        <v>7.9650905637800307E-3</v>
      </c>
      <c r="L45" s="3">
        <v>88.089995999999999</v>
      </c>
      <c r="M45" s="7">
        <f t="shared" si="5"/>
        <v>1.4160660670496705E-2</v>
      </c>
      <c r="N45" s="3">
        <v>15.59</v>
      </c>
      <c r="O45" s="7">
        <f t="shared" si="6"/>
        <v>6.455777921239525E-3</v>
      </c>
      <c r="P45" s="3">
        <v>46.436427999999999</v>
      </c>
      <c r="Q45" s="7">
        <f t="shared" si="7"/>
        <v>3.8784814958143787E-3</v>
      </c>
      <c r="R45" s="3">
        <v>8</v>
      </c>
      <c r="S45" s="7">
        <f t="shared" si="8"/>
        <v>1.6518424396442244E-2</v>
      </c>
      <c r="T45" s="3">
        <v>65.712314000000006</v>
      </c>
      <c r="U45" s="7">
        <f t="shared" si="9"/>
        <v>5.6214416834861058E-3</v>
      </c>
      <c r="V45" s="3">
        <v>45.629832</v>
      </c>
      <c r="W45" s="7">
        <f t="shared" si="10"/>
        <v>1.2766857725108993E-2</v>
      </c>
      <c r="X45" s="3">
        <v>151.324252</v>
      </c>
      <c r="Y45" s="7">
        <f t="shared" si="11"/>
        <v>-3.6758272408732307E-3</v>
      </c>
      <c r="Z45" s="3">
        <v>126.290001</v>
      </c>
      <c r="AA45" s="7">
        <f t="shared" si="12"/>
        <v>1.4273253395660213E-3</v>
      </c>
      <c r="AB45" s="3">
        <v>10.09</v>
      </c>
      <c r="AC45" s="7">
        <f t="shared" si="13"/>
        <v>-9.9009900990099098E-4</v>
      </c>
      <c r="AD45" s="3">
        <v>68.310685000000007</v>
      </c>
      <c r="AE45" s="7">
        <f t="shared" si="14"/>
        <v>-4.9112258901700123E-3</v>
      </c>
      <c r="AF45" s="3">
        <v>72.089995999999999</v>
      </c>
      <c r="AG45" s="7">
        <f t="shared" si="15"/>
        <v>-1.070408903372766E-2</v>
      </c>
      <c r="AH45" s="3">
        <v>12.14</v>
      </c>
      <c r="AI45" s="7">
        <f t="shared" si="16"/>
        <v>6.0262008733624528E-2</v>
      </c>
      <c r="AJ45" s="3">
        <v>83.094218999999995</v>
      </c>
      <c r="AK45" s="7">
        <f t="shared" si="17"/>
        <v>-2.3800713488344449E-3</v>
      </c>
      <c r="AL45" s="3">
        <v>9.1</v>
      </c>
      <c r="AM45" s="7">
        <f t="shared" si="18"/>
        <v>0</v>
      </c>
      <c r="AN45" s="3">
        <v>0.27</v>
      </c>
      <c r="AO45" s="7">
        <f t="shared" si="19"/>
        <v>3.8461538461538547E-2</v>
      </c>
      <c r="AP45" s="3">
        <v>6.97</v>
      </c>
      <c r="AQ45" s="7">
        <f t="shared" si="20"/>
        <v>-9.9431818181818787E-3</v>
      </c>
    </row>
    <row r="46" spans="1:43" x14ac:dyDescent="0.3">
      <c r="A46" s="4">
        <v>42629</v>
      </c>
      <c r="B46" s="3">
        <v>18123.800781000002</v>
      </c>
      <c r="C46" s="7">
        <f t="shared" si="0"/>
        <v>-4.8691713438452355E-3</v>
      </c>
      <c r="D46" s="3">
        <v>114.332987</v>
      </c>
      <c r="E46" s="7">
        <f t="shared" si="1"/>
        <v>-5.6243074210302613E-3</v>
      </c>
      <c r="F46" s="3">
        <v>98.93</v>
      </c>
      <c r="G46" s="7">
        <f t="shared" si="2"/>
        <v>-6.9263499219126556E-3</v>
      </c>
      <c r="H46" s="3">
        <v>57.25</v>
      </c>
      <c r="I46" s="7">
        <f t="shared" si="3"/>
        <v>1.0491519679864947E-3</v>
      </c>
      <c r="J46" s="3">
        <v>38.769804000000001</v>
      </c>
      <c r="K46" s="7">
        <f t="shared" si="4"/>
        <v>-4.747925916753637E-2</v>
      </c>
      <c r="L46" s="3">
        <v>86.860000999999997</v>
      </c>
      <c r="M46" s="7">
        <f t="shared" si="5"/>
        <v>-2.0412733064457789E-2</v>
      </c>
      <c r="N46" s="3">
        <v>15.49</v>
      </c>
      <c r="O46" s="7">
        <f t="shared" si="6"/>
        <v>-1.1486917677089981E-2</v>
      </c>
      <c r="P46" s="3">
        <v>46.257021000000002</v>
      </c>
      <c r="Q46" s="7">
        <f t="shared" si="7"/>
        <v>-1.4231127266695065E-2</v>
      </c>
      <c r="R46" s="3">
        <v>7.87</v>
      </c>
      <c r="S46" s="7">
        <f t="shared" si="8"/>
        <v>-1.8703241895261735E-2</v>
      </c>
      <c r="T46" s="3">
        <v>65.344981000000004</v>
      </c>
      <c r="U46" s="7">
        <f t="shared" si="9"/>
        <v>-1.2304920340241221E-2</v>
      </c>
      <c r="V46" s="3">
        <v>45.054625999999999</v>
      </c>
      <c r="W46" s="7">
        <f t="shared" si="10"/>
        <v>-1.5601324556501317E-2</v>
      </c>
      <c r="X46" s="3">
        <v>151.88254599999999</v>
      </c>
      <c r="Y46" s="7">
        <f t="shared" si="11"/>
        <v>-2.0959772441750957E-3</v>
      </c>
      <c r="Z46" s="3">
        <v>126.110001</v>
      </c>
      <c r="AA46" s="7">
        <f t="shared" si="12"/>
        <v>-6.6950063539303883E-3</v>
      </c>
      <c r="AB46" s="3">
        <v>10.1</v>
      </c>
      <c r="AC46" s="7">
        <f t="shared" si="13"/>
        <v>0</v>
      </c>
      <c r="AD46" s="3">
        <v>68.647829999999999</v>
      </c>
      <c r="AE46" s="7">
        <f t="shared" si="14"/>
        <v>2.8903657012024908E-4</v>
      </c>
      <c r="AF46" s="3">
        <v>72.870002999999997</v>
      </c>
      <c r="AG46" s="7">
        <f t="shared" si="15"/>
        <v>6.4917263400074976E-3</v>
      </c>
      <c r="AH46" s="3">
        <v>11.45</v>
      </c>
      <c r="AI46" s="7">
        <f t="shared" si="16"/>
        <v>-1.7436791630340842E-3</v>
      </c>
      <c r="AJ46" s="3">
        <v>83.292461000000003</v>
      </c>
      <c r="AK46" s="7">
        <f t="shared" si="17"/>
        <v>-1.2341360313787408E-2</v>
      </c>
      <c r="AL46" s="3">
        <v>9.1</v>
      </c>
      <c r="AM46" s="7">
        <f t="shared" si="18"/>
        <v>-1.8338727076591121E-2</v>
      </c>
      <c r="AN46" s="3">
        <v>0.26</v>
      </c>
      <c r="AO46" s="7">
        <f t="shared" si="19"/>
        <v>-3.703703703703709E-2</v>
      </c>
      <c r="AP46" s="3">
        <v>7.04</v>
      </c>
      <c r="AQ46" s="7">
        <f t="shared" si="20"/>
        <v>8.5959885386819312E-3</v>
      </c>
    </row>
    <row r="47" spans="1:43" x14ac:dyDescent="0.3">
      <c r="A47" s="4">
        <v>42628</v>
      </c>
      <c r="B47" s="3">
        <v>18212.480468999998</v>
      </c>
      <c r="C47" s="7">
        <f t="shared" si="0"/>
        <v>9.8537958965612127E-3</v>
      </c>
      <c r="D47" s="3">
        <v>114.979668</v>
      </c>
      <c r="E47" s="7">
        <f t="shared" si="1"/>
        <v>3.3998412001193135E-2</v>
      </c>
      <c r="F47" s="3">
        <v>99.620002999999997</v>
      </c>
      <c r="G47" s="7">
        <f t="shared" si="2"/>
        <v>8.4016802469715213E-3</v>
      </c>
      <c r="H47" s="3">
        <v>57.189999</v>
      </c>
      <c r="I47" s="7">
        <f t="shared" si="3"/>
        <v>1.6530412958777552E-2</v>
      </c>
      <c r="J47" s="3">
        <v>40.70232</v>
      </c>
      <c r="K47" s="7">
        <f t="shared" si="4"/>
        <v>1.5155279726180249E-2</v>
      </c>
      <c r="L47" s="3">
        <v>88.669998000000007</v>
      </c>
      <c r="M47" s="7">
        <f t="shared" si="5"/>
        <v>3.9628396739130878E-3</v>
      </c>
      <c r="N47" s="3">
        <v>15.67</v>
      </c>
      <c r="O47" s="7">
        <f t="shared" si="6"/>
        <v>2.5591810620599897E-3</v>
      </c>
      <c r="P47" s="3">
        <v>46.924813999999998</v>
      </c>
      <c r="Q47" s="7">
        <f t="shared" si="7"/>
        <v>7.0588614019688745E-3</v>
      </c>
      <c r="R47" s="3">
        <v>8.02</v>
      </c>
      <c r="S47" s="7">
        <f t="shared" si="8"/>
        <v>-3.7267080745343462E-3</v>
      </c>
      <c r="T47" s="3">
        <v>66.159063000000003</v>
      </c>
      <c r="U47" s="7">
        <f t="shared" si="9"/>
        <v>3.6144283874481875E-3</v>
      </c>
      <c r="V47" s="3">
        <v>45.768678000000001</v>
      </c>
      <c r="W47" s="7">
        <f t="shared" si="10"/>
        <v>-7.9535508572335933E-3</v>
      </c>
      <c r="X47" s="3">
        <v>152.20155700000001</v>
      </c>
      <c r="Y47" s="7">
        <f t="shared" si="11"/>
        <v>1.3139533128245562E-2</v>
      </c>
      <c r="Z47" s="3">
        <v>126.959999</v>
      </c>
      <c r="AA47" s="7">
        <f t="shared" si="12"/>
        <v>5.5440914692841403E-3</v>
      </c>
      <c r="AB47" s="3">
        <v>10.1</v>
      </c>
      <c r="AC47" s="7">
        <f t="shared" si="13"/>
        <v>5.4279749478079342E-2</v>
      </c>
      <c r="AD47" s="3">
        <v>68.627994000000001</v>
      </c>
      <c r="AE47" s="7">
        <f t="shared" si="14"/>
        <v>1.4809419711818483E-2</v>
      </c>
      <c r="AF47" s="3">
        <v>72.400002000000001</v>
      </c>
      <c r="AG47" s="7">
        <f t="shared" si="15"/>
        <v>1.2304320985919492E-2</v>
      </c>
      <c r="AH47" s="3">
        <v>11.47</v>
      </c>
      <c r="AI47" s="7">
        <f t="shared" si="16"/>
        <v>3.4265103697024513E-2</v>
      </c>
      <c r="AJ47" s="3">
        <v>84.333247999999998</v>
      </c>
      <c r="AK47" s="7">
        <f t="shared" si="17"/>
        <v>5.6738066836441448E-3</v>
      </c>
      <c r="AL47" s="3">
        <v>9.27</v>
      </c>
      <c r="AM47" s="7">
        <f t="shared" si="18"/>
        <v>3.5754189944134041E-2</v>
      </c>
      <c r="AN47" s="3">
        <v>0.27</v>
      </c>
      <c r="AO47" s="7">
        <f t="shared" si="19"/>
        <v>3.8461538461538547E-2</v>
      </c>
      <c r="AP47" s="3">
        <v>6.98</v>
      </c>
      <c r="AQ47" s="7">
        <f t="shared" si="20"/>
        <v>1.4534883720930258E-2</v>
      </c>
    </row>
    <row r="48" spans="1:43" x14ac:dyDescent="0.3">
      <c r="A48" s="4">
        <v>42627</v>
      </c>
      <c r="B48" s="3">
        <v>18034.769531000002</v>
      </c>
      <c r="C48" s="7">
        <f t="shared" si="0"/>
        <v>-1.770128495717227E-3</v>
      </c>
      <c r="D48" s="3">
        <v>111.19907600000001</v>
      </c>
      <c r="E48" s="7">
        <f t="shared" si="1"/>
        <v>3.5386759460934503E-2</v>
      </c>
      <c r="F48" s="3">
        <v>98.790001000000004</v>
      </c>
      <c r="G48" s="7">
        <f t="shared" si="2"/>
        <v>2.0253113908674791E-4</v>
      </c>
      <c r="H48" s="3">
        <v>56.259998000000003</v>
      </c>
      <c r="I48" s="7">
        <f t="shared" si="3"/>
        <v>-4.7762427874799007E-3</v>
      </c>
      <c r="J48" s="3">
        <v>40.094673999999998</v>
      </c>
      <c r="K48" s="7">
        <f t="shared" si="4"/>
        <v>1.7421635867873597E-3</v>
      </c>
      <c r="L48" s="3">
        <v>88.32</v>
      </c>
      <c r="M48" s="7">
        <f t="shared" si="5"/>
        <v>1.9285081808619875E-3</v>
      </c>
      <c r="N48" s="3">
        <v>15.63</v>
      </c>
      <c r="O48" s="7">
        <f t="shared" si="6"/>
        <v>-5.7251908396946938E-3</v>
      </c>
      <c r="P48" s="3">
        <v>46.5959</v>
      </c>
      <c r="Q48" s="7">
        <f t="shared" si="7"/>
        <v>-3.6231535416252347E-3</v>
      </c>
      <c r="R48" s="3">
        <v>8.0500000000000007</v>
      </c>
      <c r="S48" s="7">
        <f t="shared" si="8"/>
        <v>2.0278833967046994E-2</v>
      </c>
      <c r="T48" s="3">
        <v>65.920796999999993</v>
      </c>
      <c r="U48" s="7">
        <f t="shared" si="9"/>
        <v>-1.9539633818431712E-3</v>
      </c>
      <c r="V48" s="3">
        <v>46.135620000000003</v>
      </c>
      <c r="W48" s="7">
        <f t="shared" si="10"/>
        <v>-9.369646123936759E-3</v>
      </c>
      <c r="X48" s="3">
        <v>150.22763599999999</v>
      </c>
      <c r="Y48" s="7">
        <f t="shared" si="11"/>
        <v>-3.317196828805935E-4</v>
      </c>
      <c r="Z48" s="3">
        <v>126.260002</v>
      </c>
      <c r="AA48" s="7">
        <f t="shared" si="12"/>
        <v>4.2952672264138236E-3</v>
      </c>
      <c r="AB48" s="3">
        <v>9.58</v>
      </c>
      <c r="AC48" s="7">
        <f t="shared" si="13"/>
        <v>-5.1921079958463512E-3</v>
      </c>
      <c r="AD48" s="3">
        <v>67.626485000000002</v>
      </c>
      <c r="AE48" s="7">
        <f t="shared" si="14"/>
        <v>-1.0734056806213865E-2</v>
      </c>
      <c r="AF48" s="3">
        <v>71.519997000000004</v>
      </c>
      <c r="AG48" s="7">
        <f t="shared" si="15"/>
        <v>8.3960258661641696E-4</v>
      </c>
      <c r="AH48" s="3">
        <v>11.09</v>
      </c>
      <c r="AI48" s="7">
        <f t="shared" si="16"/>
        <v>-7.1620411817368002E-3</v>
      </c>
      <c r="AJ48" s="3">
        <v>83.857456999999997</v>
      </c>
      <c r="AK48" s="7">
        <f t="shared" si="17"/>
        <v>-7.1587963283510359E-3</v>
      </c>
      <c r="AL48" s="3">
        <v>8.9499999999999993</v>
      </c>
      <c r="AM48" s="7">
        <f t="shared" si="18"/>
        <v>3.3632286995515237E-3</v>
      </c>
      <c r="AN48" s="3">
        <v>0.26</v>
      </c>
      <c r="AO48" s="7">
        <f t="shared" si="19"/>
        <v>-7.1428571428571508E-2</v>
      </c>
      <c r="AP48" s="3">
        <v>6.88</v>
      </c>
      <c r="AQ48" s="7">
        <f t="shared" si="20"/>
        <v>-5.2341597796143224E-2</v>
      </c>
    </row>
    <row r="49" spans="1:43" x14ac:dyDescent="0.3">
      <c r="A49" s="4">
        <v>42626</v>
      </c>
      <c r="B49" s="3">
        <v>18066.75</v>
      </c>
      <c r="C49" s="7">
        <f t="shared" si="0"/>
        <v>-1.4096552297037657E-2</v>
      </c>
      <c r="D49" s="3">
        <v>107.398588</v>
      </c>
      <c r="E49" s="7">
        <f t="shared" si="1"/>
        <v>2.3804950581457929E-2</v>
      </c>
      <c r="F49" s="3">
        <v>98.769997000000004</v>
      </c>
      <c r="G49" s="7">
        <f t="shared" si="2"/>
        <v>-1.5450588118022246E-2</v>
      </c>
      <c r="H49" s="3">
        <v>56.529998999999997</v>
      </c>
      <c r="I49" s="7">
        <f t="shared" si="3"/>
        <v>-9.1148117285682062E-3</v>
      </c>
      <c r="J49" s="3">
        <v>40.024943999999998</v>
      </c>
      <c r="K49" s="7">
        <f t="shared" si="4"/>
        <v>-1.2291040345617121E-2</v>
      </c>
      <c r="L49" s="3">
        <v>88.150002000000001</v>
      </c>
      <c r="M49" s="7">
        <f t="shared" si="5"/>
        <v>-6.8724649195027743E-3</v>
      </c>
      <c r="N49" s="3">
        <v>15.72</v>
      </c>
      <c r="O49" s="7">
        <f t="shared" si="6"/>
        <v>-1.132075471698113E-2</v>
      </c>
      <c r="P49" s="3">
        <v>46.765338</v>
      </c>
      <c r="Q49" s="7">
        <f t="shared" si="7"/>
        <v>-1.8204702493611835E-2</v>
      </c>
      <c r="R49" s="3">
        <v>7.89</v>
      </c>
      <c r="S49" s="7">
        <f t="shared" si="8"/>
        <v>-1.9875776397515699E-2</v>
      </c>
      <c r="T49" s="3">
        <v>66.049856000000005</v>
      </c>
      <c r="U49" s="7">
        <f t="shared" si="9"/>
        <v>-7.9033550062987956E-3</v>
      </c>
      <c r="V49" s="3">
        <v>46.571983000000003</v>
      </c>
      <c r="W49" s="7">
        <f t="shared" si="10"/>
        <v>-3.2550515767591826E-2</v>
      </c>
      <c r="X49" s="3">
        <v>150.27748600000001</v>
      </c>
      <c r="Y49" s="7">
        <f t="shared" si="11"/>
        <v>-6.262752226873558E-3</v>
      </c>
      <c r="Z49" s="3">
        <v>125.720001</v>
      </c>
      <c r="AA49" s="7">
        <f t="shared" si="12"/>
        <v>-2.2318960177897695E-2</v>
      </c>
      <c r="AB49" s="3">
        <v>9.6300000000000008</v>
      </c>
      <c r="AC49" s="7">
        <f t="shared" si="13"/>
        <v>-2.8254288597376331E-2</v>
      </c>
      <c r="AD49" s="3">
        <v>68.360268000000005</v>
      </c>
      <c r="AE49" s="7">
        <f t="shared" si="14"/>
        <v>-5.1948098440098844E-3</v>
      </c>
      <c r="AF49" s="3">
        <v>71.459998999999996</v>
      </c>
      <c r="AG49" s="7">
        <f t="shared" si="15"/>
        <v>-6.6722683716357034E-3</v>
      </c>
      <c r="AH49" s="3">
        <v>11.17</v>
      </c>
      <c r="AI49" s="7">
        <f t="shared" si="16"/>
        <v>-4.0378006872852312E-2</v>
      </c>
      <c r="AJ49" s="3">
        <v>84.462103999999997</v>
      </c>
      <c r="AK49" s="7">
        <f t="shared" si="17"/>
        <v>-2.3828632496457725E-2</v>
      </c>
      <c r="AL49" s="3">
        <v>8.92</v>
      </c>
      <c r="AM49" s="7">
        <f t="shared" si="18"/>
        <v>-9.0723751274210063E-2</v>
      </c>
      <c r="AN49" s="3">
        <v>0.28000000000000003</v>
      </c>
      <c r="AO49" s="7">
        <f t="shared" si="19"/>
        <v>-6.6666666666666541E-2</v>
      </c>
      <c r="AP49" s="3">
        <v>7.26</v>
      </c>
      <c r="AQ49" s="7">
        <f t="shared" si="20"/>
        <v>-4.599211563731942E-2</v>
      </c>
    </row>
    <row r="50" spans="1:43" x14ac:dyDescent="0.3">
      <c r="A50" s="4">
        <v>42625</v>
      </c>
      <c r="B50" s="3">
        <v>18325.070312</v>
      </c>
      <c r="C50" s="7">
        <f t="shared" si="0"/>
        <v>1.3249385740900621E-2</v>
      </c>
      <c r="D50" s="3">
        <v>104.901415</v>
      </c>
      <c r="E50" s="7">
        <f t="shared" si="1"/>
        <v>2.2398968047870671E-2</v>
      </c>
      <c r="F50" s="3">
        <v>100.32</v>
      </c>
      <c r="G50" s="7">
        <f t="shared" si="2"/>
        <v>9.4586740629503119E-3</v>
      </c>
      <c r="H50" s="3">
        <v>57.049999</v>
      </c>
      <c r="I50" s="7">
        <f t="shared" si="3"/>
        <v>1.4943960415298996E-2</v>
      </c>
      <c r="J50" s="3">
        <v>40.523014000000003</v>
      </c>
      <c r="K50" s="7">
        <f t="shared" si="4"/>
        <v>1.6237856804429018E-2</v>
      </c>
      <c r="L50" s="3">
        <v>88.760002</v>
      </c>
      <c r="M50" s="7">
        <f t="shared" si="5"/>
        <v>1.2779587092418776E-2</v>
      </c>
      <c r="N50" s="3">
        <v>15.9</v>
      </c>
      <c r="O50" s="7">
        <f t="shared" si="6"/>
        <v>1.0165184243964509E-2</v>
      </c>
      <c r="P50" s="3">
        <v>47.632472999999997</v>
      </c>
      <c r="Q50" s="7">
        <f t="shared" si="7"/>
        <v>1.3144004849225954E-2</v>
      </c>
      <c r="R50" s="3">
        <v>8.0500000000000007</v>
      </c>
      <c r="S50" s="7">
        <f t="shared" si="8"/>
        <v>-8.6206896551722645E-3</v>
      </c>
      <c r="T50" s="3">
        <v>66.576030000000003</v>
      </c>
      <c r="U50" s="7">
        <f t="shared" si="9"/>
        <v>6.1514764173606906E-3</v>
      </c>
      <c r="V50" s="3">
        <v>48.138930000000002</v>
      </c>
      <c r="W50" s="7">
        <f t="shared" si="10"/>
        <v>-3.6945870666209579E-3</v>
      </c>
      <c r="X50" s="3">
        <v>151.224568</v>
      </c>
      <c r="Y50" s="7">
        <f t="shared" si="11"/>
        <v>6.5693807675311078E-3</v>
      </c>
      <c r="Z50" s="3">
        <v>128.58999600000001</v>
      </c>
      <c r="AA50" s="7">
        <f t="shared" si="12"/>
        <v>6.6541256717416175E-3</v>
      </c>
      <c r="AB50" s="3">
        <v>9.91</v>
      </c>
      <c r="AC50" s="7">
        <f t="shared" si="13"/>
        <v>1.0101010101009056E-3</v>
      </c>
      <c r="AD50" s="3">
        <v>68.717241000000001</v>
      </c>
      <c r="AE50" s="7">
        <f t="shared" si="14"/>
        <v>4.3478666930742982E-3</v>
      </c>
      <c r="AF50" s="3">
        <v>71.940002000000007</v>
      </c>
      <c r="AG50" s="7">
        <f t="shared" si="15"/>
        <v>2.332857652936382E-2</v>
      </c>
      <c r="AH50" s="3">
        <v>11.64</v>
      </c>
      <c r="AI50" s="7">
        <f t="shared" si="16"/>
        <v>3.2830523513753374E-2</v>
      </c>
      <c r="AJ50" s="3">
        <v>86.523848999999998</v>
      </c>
      <c r="AK50" s="7">
        <f t="shared" si="17"/>
        <v>5.1819868294722404E-3</v>
      </c>
      <c r="AL50" s="3">
        <v>9.81</v>
      </c>
      <c r="AM50" s="7">
        <f t="shared" si="18"/>
        <v>3.1545741324921162E-2</v>
      </c>
      <c r="AN50" s="3">
        <v>0.3</v>
      </c>
      <c r="AO50" s="7">
        <f t="shared" si="19"/>
        <v>-3.2258064516129115E-2</v>
      </c>
      <c r="AP50" s="3">
        <v>7.61</v>
      </c>
      <c r="AQ50" s="7">
        <f t="shared" si="20"/>
        <v>-1.312335958005173E-3</v>
      </c>
    </row>
    <row r="51" spans="1:43" x14ac:dyDescent="0.3">
      <c r="A51" s="4">
        <v>42622</v>
      </c>
      <c r="B51" s="3">
        <v>18085.449218999998</v>
      </c>
      <c r="C51" s="7">
        <f t="shared" si="0"/>
        <v>-2.1345392573347111E-2</v>
      </c>
      <c r="D51" s="3">
        <v>102.60320900000001</v>
      </c>
      <c r="E51" s="7">
        <f t="shared" si="1"/>
        <v>-2.2649736403256404E-2</v>
      </c>
      <c r="F51" s="3">
        <v>99.379997000000003</v>
      </c>
      <c r="G51" s="7">
        <f t="shared" si="2"/>
        <v>-2.4538673671142708E-2</v>
      </c>
      <c r="H51" s="3">
        <v>56.209999000000003</v>
      </c>
      <c r="I51" s="7">
        <f t="shared" si="3"/>
        <v>-2.1243270067908715E-2</v>
      </c>
      <c r="J51" s="3">
        <v>39.875520999999999</v>
      </c>
      <c r="K51" s="7">
        <f t="shared" si="4"/>
        <v>-1.6945057203928471E-2</v>
      </c>
      <c r="L51" s="3">
        <v>87.639999000000003</v>
      </c>
      <c r="M51" s="7">
        <f t="shared" si="5"/>
        <v>-2.1219588773513598E-2</v>
      </c>
      <c r="N51" s="3">
        <v>15.74</v>
      </c>
      <c r="O51" s="7">
        <f t="shared" si="6"/>
        <v>-7.5662042875157542E-3</v>
      </c>
      <c r="P51" s="3">
        <v>47.014513999999998</v>
      </c>
      <c r="Q51" s="7">
        <f t="shared" si="7"/>
        <v>-1.2973481347483218E-2</v>
      </c>
      <c r="R51" s="3">
        <v>8.1199999999999992</v>
      </c>
      <c r="S51" s="7">
        <f t="shared" si="8"/>
        <v>-1.6949152542372947E-2</v>
      </c>
      <c r="T51" s="3">
        <v>66.168993</v>
      </c>
      <c r="U51" s="7">
        <f t="shared" si="9"/>
        <v>-8.9219055571929662E-3</v>
      </c>
      <c r="V51" s="3">
        <v>48.317442999999997</v>
      </c>
      <c r="W51" s="7">
        <f t="shared" si="10"/>
        <v>-2.3647293479613252E-2</v>
      </c>
      <c r="X51" s="3">
        <v>150.23759999999999</v>
      </c>
      <c r="Y51" s="7">
        <f t="shared" si="11"/>
        <v>-1.8049157869256871E-2</v>
      </c>
      <c r="Z51" s="3">
        <v>127.739998</v>
      </c>
      <c r="AA51" s="7">
        <f t="shared" si="12"/>
        <v>-2.6816982584831006E-2</v>
      </c>
      <c r="AB51" s="3">
        <v>9.9</v>
      </c>
      <c r="AC51" s="7">
        <f t="shared" si="13"/>
        <v>9.1743119266054496E-3</v>
      </c>
      <c r="AD51" s="3">
        <v>68.419760999999994</v>
      </c>
      <c r="AE51" s="7">
        <f t="shared" si="14"/>
        <v>-6.6225058834810113E-3</v>
      </c>
      <c r="AF51" s="3">
        <v>70.300003000000004</v>
      </c>
      <c r="AG51" s="7">
        <f t="shared" si="15"/>
        <v>-2.1300277842119408E-2</v>
      </c>
      <c r="AH51" s="3">
        <v>11.27</v>
      </c>
      <c r="AI51" s="7">
        <f t="shared" si="16"/>
        <v>-2.5086505190311525E-2</v>
      </c>
      <c r="AJ51" s="3">
        <v>86.077794999999995</v>
      </c>
      <c r="AK51" s="7">
        <f t="shared" si="17"/>
        <v>-2.4817589315424882E-2</v>
      </c>
      <c r="AL51" s="3">
        <v>9.51</v>
      </c>
      <c r="AM51" s="7">
        <f t="shared" si="18"/>
        <v>-6.5815324165029443E-2</v>
      </c>
      <c r="AN51" s="3">
        <v>0.31</v>
      </c>
      <c r="AO51" s="7">
        <f t="shared" si="19"/>
        <v>0.24</v>
      </c>
      <c r="AP51" s="3">
        <v>7.62</v>
      </c>
      <c r="AQ51" s="7">
        <f t="shared" si="20"/>
        <v>-9.1775923718712793E-2</v>
      </c>
    </row>
    <row r="52" spans="1:43" x14ac:dyDescent="0.3">
      <c r="A52" s="4">
        <v>42621</v>
      </c>
      <c r="B52" s="3">
        <v>18479.910156000002</v>
      </c>
      <c r="C52" s="7">
        <f t="shared" si="0"/>
        <v>-2.495418227453805E-3</v>
      </c>
      <c r="D52" s="3">
        <v>104.98100100000001</v>
      </c>
      <c r="E52" s="7">
        <f t="shared" si="1"/>
        <v>-2.6208967478008605E-2</v>
      </c>
      <c r="F52" s="3">
        <v>101.879997</v>
      </c>
      <c r="G52" s="7">
        <f t="shared" si="2"/>
        <v>-1.0873815533980591E-2</v>
      </c>
      <c r="H52" s="3">
        <v>57.43</v>
      </c>
      <c r="I52" s="7">
        <f t="shared" si="3"/>
        <v>-3.9889004509191528E-3</v>
      </c>
      <c r="J52" s="3">
        <v>40.562860999999998</v>
      </c>
      <c r="K52" s="7">
        <f t="shared" si="4"/>
        <v>-1.2848443450159008E-2</v>
      </c>
      <c r="L52" s="3">
        <v>89.540001000000004</v>
      </c>
      <c r="M52" s="7">
        <f t="shared" si="5"/>
        <v>-1.4093800924906308E-2</v>
      </c>
      <c r="N52" s="3">
        <v>15.86</v>
      </c>
      <c r="O52" s="7">
        <f t="shared" si="6"/>
        <v>1.0191082802547768E-2</v>
      </c>
      <c r="P52" s="3">
        <v>47.632472999999997</v>
      </c>
      <c r="Q52" s="7">
        <f t="shared" si="7"/>
        <v>6.5291038427783832E-3</v>
      </c>
      <c r="R52" s="3">
        <v>8.26</v>
      </c>
      <c r="S52" s="7">
        <f t="shared" si="8"/>
        <v>-1.3142174432496989E-2</v>
      </c>
      <c r="T52" s="3">
        <v>66.764661000000004</v>
      </c>
      <c r="U52" s="7">
        <f t="shared" si="9"/>
        <v>1.3400161664030019E-3</v>
      </c>
      <c r="V52" s="3">
        <v>49.487693</v>
      </c>
      <c r="W52" s="7">
        <f t="shared" si="10"/>
        <v>2.6120385586625439E-3</v>
      </c>
      <c r="X52" s="3">
        <v>152.99910499999999</v>
      </c>
      <c r="Y52" s="7">
        <f t="shared" si="11"/>
        <v>-1.3942420151989765E-2</v>
      </c>
      <c r="Z52" s="3">
        <v>131.259995</v>
      </c>
      <c r="AA52" s="7">
        <f t="shared" si="12"/>
        <v>-1.1521937500215129E-2</v>
      </c>
      <c r="AB52" s="3">
        <v>9.81</v>
      </c>
      <c r="AC52" s="7">
        <f t="shared" si="13"/>
        <v>-1.8018018018017945E-2</v>
      </c>
      <c r="AD52" s="3">
        <v>68.875891999999993</v>
      </c>
      <c r="AE52" s="7">
        <f t="shared" si="14"/>
        <v>-1.1948844588301366E-2</v>
      </c>
      <c r="AF52" s="3">
        <v>71.830001999999993</v>
      </c>
      <c r="AG52" s="7">
        <f t="shared" si="15"/>
        <v>-3.1917292032119793E-3</v>
      </c>
      <c r="AH52" s="3">
        <v>11.56</v>
      </c>
      <c r="AI52" s="7">
        <f t="shared" si="16"/>
        <v>8.2397003745318331E-2</v>
      </c>
      <c r="AJ52" s="3">
        <v>88.268404000000004</v>
      </c>
      <c r="AK52" s="7">
        <f t="shared" si="17"/>
        <v>9.1795728208656779E-3</v>
      </c>
      <c r="AL52" s="3">
        <v>10.18</v>
      </c>
      <c r="AM52" s="7">
        <f t="shared" si="18"/>
        <v>3.0364372469635414E-2</v>
      </c>
      <c r="AN52" s="3">
        <v>0.25</v>
      </c>
      <c r="AO52" s="7">
        <f t="shared" si="19"/>
        <v>8.6956521739130377E-2</v>
      </c>
      <c r="AP52" s="3">
        <v>8.39</v>
      </c>
      <c r="AQ52" s="7">
        <f t="shared" si="20"/>
        <v>1.3285024154589431E-2</v>
      </c>
    </row>
    <row r="53" spans="1:43" x14ac:dyDescent="0.3">
      <c r="A53" s="4">
        <v>42620</v>
      </c>
      <c r="B53" s="3">
        <v>18526.140625</v>
      </c>
      <c r="C53" s="7">
        <f t="shared" si="0"/>
        <v>-6.4615595082173627E-4</v>
      </c>
      <c r="D53" s="3">
        <v>107.806498</v>
      </c>
      <c r="E53" s="7">
        <f t="shared" si="1"/>
        <v>6.1281738432428234E-3</v>
      </c>
      <c r="F53" s="3">
        <v>103</v>
      </c>
      <c r="G53" s="7">
        <f t="shared" si="2"/>
        <v>-4.8309178743961567E-3</v>
      </c>
      <c r="H53" s="3">
        <v>57.66</v>
      </c>
      <c r="I53" s="7">
        <f t="shared" si="3"/>
        <v>8.6788750446298302E-4</v>
      </c>
      <c r="J53" s="3">
        <v>41.090814000000002</v>
      </c>
      <c r="K53" s="7">
        <f t="shared" si="4"/>
        <v>0</v>
      </c>
      <c r="L53" s="3">
        <v>90.82</v>
      </c>
      <c r="M53" s="7">
        <f t="shared" si="5"/>
        <v>4.6459954724336061E-3</v>
      </c>
      <c r="N53" s="3">
        <v>15.7</v>
      </c>
      <c r="O53" s="7">
        <f t="shared" si="6"/>
        <v>-5.069708491761693E-3</v>
      </c>
      <c r="P53" s="3">
        <v>47.323492999999999</v>
      </c>
      <c r="Q53" s="7">
        <f t="shared" si="7"/>
        <v>4.01772635157438E-3</v>
      </c>
      <c r="R53" s="3">
        <v>8.3699999999999992</v>
      </c>
      <c r="S53" s="7">
        <f t="shared" si="8"/>
        <v>1.7010935601457833E-2</v>
      </c>
      <c r="T53" s="3">
        <v>66.675314999999998</v>
      </c>
      <c r="U53" s="7">
        <f t="shared" si="9"/>
        <v>-4.1518196871960233E-3</v>
      </c>
      <c r="V53" s="3">
        <v>49.358766000000003</v>
      </c>
      <c r="W53" s="7">
        <f t="shared" si="10"/>
        <v>-4.4009161515582429E-3</v>
      </c>
      <c r="X53" s="3">
        <v>155.16244499999999</v>
      </c>
      <c r="Y53" s="7">
        <f t="shared" si="11"/>
        <v>-1.5310631282936082E-2</v>
      </c>
      <c r="Z53" s="3">
        <v>132.78999300000001</v>
      </c>
      <c r="AA53" s="7">
        <f t="shared" si="12"/>
        <v>-9.7689257374081739E-3</v>
      </c>
      <c r="AB53" s="3">
        <v>9.99</v>
      </c>
      <c r="AC53" s="7">
        <f t="shared" si="13"/>
        <v>5.8262711864406791E-2</v>
      </c>
      <c r="AD53" s="3">
        <v>69.708832000000001</v>
      </c>
      <c r="AE53" s="7">
        <f t="shared" si="14"/>
        <v>2.8531369263891104E-3</v>
      </c>
      <c r="AF53" s="3">
        <v>72.059997999999993</v>
      </c>
      <c r="AG53" s="7">
        <f t="shared" si="15"/>
        <v>-1.2876739726027542E-2</v>
      </c>
      <c r="AH53" s="3">
        <v>10.68</v>
      </c>
      <c r="AI53" s="7">
        <f t="shared" si="16"/>
        <v>-2.9090909090909167E-2</v>
      </c>
      <c r="AJ53" s="3">
        <v>87.465508</v>
      </c>
      <c r="AK53" s="7">
        <f t="shared" si="17"/>
        <v>-3.7258942990352484E-3</v>
      </c>
      <c r="AL53" s="3">
        <v>9.8800000000000008</v>
      </c>
      <c r="AM53" s="7">
        <f t="shared" si="18"/>
        <v>-6.0362173038227551E-3</v>
      </c>
      <c r="AN53" s="3">
        <v>0.23</v>
      </c>
      <c r="AO53" s="7">
        <f t="shared" si="19"/>
        <v>0</v>
      </c>
      <c r="AP53" s="3">
        <v>8.2799999999999994</v>
      </c>
      <c r="AQ53" s="7">
        <f t="shared" si="20"/>
        <v>3.3707865168539186E-2</v>
      </c>
    </row>
    <row r="54" spans="1:43" x14ac:dyDescent="0.3">
      <c r="A54" s="4">
        <v>42619</v>
      </c>
      <c r="B54" s="3">
        <v>18538.119140999999</v>
      </c>
      <c r="C54" s="7">
        <f t="shared" si="0"/>
        <v>2.4961226748616561E-3</v>
      </c>
      <c r="D54" s="3">
        <v>107.14986500000001</v>
      </c>
      <c r="E54" s="7">
        <f t="shared" si="1"/>
        <v>-2.7854150280059997E-4</v>
      </c>
      <c r="F54" s="3">
        <v>103.5</v>
      </c>
      <c r="G54" s="7">
        <f t="shared" si="2"/>
        <v>-6.758713913295189E-4</v>
      </c>
      <c r="H54" s="3">
        <v>57.610000999999997</v>
      </c>
      <c r="I54" s="7">
        <f t="shared" si="3"/>
        <v>-1.0403503048500573E-3</v>
      </c>
      <c r="J54" s="3">
        <v>41.090814000000002</v>
      </c>
      <c r="K54" s="7">
        <f t="shared" si="4"/>
        <v>0</v>
      </c>
      <c r="L54" s="3">
        <v>90.400002000000001</v>
      </c>
      <c r="M54" s="7">
        <f t="shared" si="5"/>
        <v>8.4783914377331016E-3</v>
      </c>
      <c r="N54" s="3">
        <v>15.78</v>
      </c>
      <c r="O54" s="7">
        <f t="shared" si="6"/>
        <v>-1.375000000000004E-2</v>
      </c>
      <c r="P54" s="3">
        <v>47.134121</v>
      </c>
      <c r="Q54" s="7">
        <f t="shared" si="7"/>
        <v>-4.6305446370019654E-3</v>
      </c>
      <c r="R54" s="3">
        <v>8.23</v>
      </c>
      <c r="S54" s="7">
        <f t="shared" si="8"/>
        <v>4.4416243654822329E-2</v>
      </c>
      <c r="T54" s="3">
        <v>66.953293000000002</v>
      </c>
      <c r="U54" s="7">
        <f t="shared" si="9"/>
        <v>-7.4077360829327699E-4</v>
      </c>
      <c r="V54" s="3">
        <v>49.576949999999997</v>
      </c>
      <c r="W54" s="7">
        <f t="shared" si="10"/>
        <v>-1.1078082961251456E-2</v>
      </c>
      <c r="X54" s="3">
        <v>157.575018</v>
      </c>
      <c r="Y54" s="7">
        <f t="shared" si="11"/>
        <v>5.0640888807440554E-4</v>
      </c>
      <c r="Z54" s="3">
        <v>134.10000600000001</v>
      </c>
      <c r="AA54" s="7">
        <f t="shared" si="12"/>
        <v>-7.7690569486816852E-3</v>
      </c>
      <c r="AB54" s="3">
        <v>9.44</v>
      </c>
      <c r="AC54" s="7">
        <f t="shared" si="13"/>
        <v>-5.2687038988409318E-3</v>
      </c>
      <c r="AD54" s="3">
        <v>69.510508999999999</v>
      </c>
      <c r="AE54" s="7">
        <f t="shared" si="14"/>
        <v>-1.0026826638096065E-2</v>
      </c>
      <c r="AF54" s="3">
        <v>73</v>
      </c>
      <c r="AG54" s="7">
        <f t="shared" si="15"/>
        <v>6.8965517241379448E-3</v>
      </c>
      <c r="AH54" s="3">
        <v>11</v>
      </c>
      <c r="AI54" s="7">
        <f t="shared" si="16"/>
        <v>-9.9009900990097988E-3</v>
      </c>
      <c r="AJ54" s="3">
        <v>87.792614</v>
      </c>
      <c r="AK54" s="7">
        <f t="shared" si="17"/>
        <v>1.3154903667982554E-2</v>
      </c>
      <c r="AL54" s="3">
        <v>9.94</v>
      </c>
      <c r="AM54" s="7">
        <f t="shared" si="18"/>
        <v>3.757828810020869E-2</v>
      </c>
      <c r="AN54" s="3">
        <v>0.23</v>
      </c>
      <c r="AO54" s="7">
        <f t="shared" si="19"/>
        <v>0</v>
      </c>
      <c r="AP54" s="3">
        <v>8.01</v>
      </c>
      <c r="AQ54" s="7">
        <f t="shared" si="20"/>
        <v>8.2432432432432368E-2</v>
      </c>
    </row>
    <row r="55" spans="1:43" x14ac:dyDescent="0.3">
      <c r="A55" s="4">
        <v>42615</v>
      </c>
      <c r="B55" s="3">
        <v>18491.960938</v>
      </c>
      <c r="C55" s="7">
        <f t="shared" si="0"/>
        <v>3.9447836735990727E-3</v>
      </c>
      <c r="D55" s="3">
        <v>107.17971900000001</v>
      </c>
      <c r="E55" s="7">
        <f t="shared" si="1"/>
        <v>9.3694365580123673E-3</v>
      </c>
      <c r="F55" s="3">
        <v>103.57</v>
      </c>
      <c r="G55" s="7">
        <f t="shared" si="2"/>
        <v>6.5111563360318314E-3</v>
      </c>
      <c r="H55" s="3">
        <v>57.669998</v>
      </c>
      <c r="I55" s="7">
        <f t="shared" si="3"/>
        <v>1.3890953290500718E-3</v>
      </c>
      <c r="J55" s="3">
        <v>41.090814000000002</v>
      </c>
      <c r="K55" s="7">
        <f t="shared" si="4"/>
        <v>2.1865721756861856E-3</v>
      </c>
      <c r="L55" s="3">
        <v>89.639999000000003</v>
      </c>
      <c r="M55" s="7">
        <f t="shared" si="5"/>
        <v>1.3224799217533612E-2</v>
      </c>
      <c r="N55" s="3">
        <v>16</v>
      </c>
      <c r="O55" s="7">
        <f t="shared" si="6"/>
        <v>1.2515644555695093E-3</v>
      </c>
      <c r="P55" s="3">
        <v>47.353392999999997</v>
      </c>
      <c r="Q55" s="7">
        <f t="shared" si="7"/>
        <v>3.1671754171107569E-3</v>
      </c>
      <c r="R55" s="3">
        <v>7.88</v>
      </c>
      <c r="S55" s="7">
        <f t="shared" si="8"/>
        <v>0</v>
      </c>
      <c r="T55" s="3">
        <v>67.002927</v>
      </c>
      <c r="U55" s="7">
        <f t="shared" si="9"/>
        <v>4.1660279125879107E-3</v>
      </c>
      <c r="V55" s="3">
        <v>50.13232</v>
      </c>
      <c r="W55" s="7">
        <f t="shared" si="10"/>
        <v>2.3795064326173065E-3</v>
      </c>
      <c r="X55" s="3">
        <v>157.495261</v>
      </c>
      <c r="Y55" s="7">
        <f t="shared" si="11"/>
        <v>1.133082921997719E-2</v>
      </c>
      <c r="Z55" s="3">
        <v>135.14999399999999</v>
      </c>
      <c r="AA55" s="7">
        <f t="shared" si="12"/>
        <v>6.8538927766934599E-3</v>
      </c>
      <c r="AB55" s="3">
        <v>9.49</v>
      </c>
      <c r="AC55" s="7">
        <f t="shared" si="13"/>
        <v>5.2966101694915668E-3</v>
      </c>
      <c r="AD55" s="3">
        <v>70.214538000000005</v>
      </c>
      <c r="AE55" s="7">
        <f t="shared" si="14"/>
        <v>3.2586581441822471E-3</v>
      </c>
      <c r="AF55" s="3">
        <v>72.5</v>
      </c>
      <c r="AG55" s="7">
        <f t="shared" si="15"/>
        <v>-4.6677103057501945E-3</v>
      </c>
      <c r="AH55" s="3">
        <v>11.11</v>
      </c>
      <c r="AI55" s="7">
        <f t="shared" si="16"/>
        <v>3.4450651769087459E-2</v>
      </c>
      <c r="AJ55" s="3">
        <v>86.652705999999995</v>
      </c>
      <c r="AK55" s="7">
        <f t="shared" si="17"/>
        <v>6.6789698783524809E-3</v>
      </c>
      <c r="AL55" s="3">
        <v>9.58</v>
      </c>
      <c r="AM55" s="7">
        <f t="shared" si="18"/>
        <v>3.9045553145336198E-2</v>
      </c>
      <c r="AN55" s="3">
        <v>0.23</v>
      </c>
      <c r="AO55" s="7">
        <f t="shared" si="19"/>
        <v>4.5454545454545414E-2</v>
      </c>
      <c r="AP55" s="3">
        <v>7.4</v>
      </c>
      <c r="AQ55" s="7">
        <f t="shared" si="20"/>
        <v>4.0787623066104173E-2</v>
      </c>
    </row>
    <row r="56" spans="1:43" x14ac:dyDescent="0.3">
      <c r="A56" s="4">
        <v>42614</v>
      </c>
      <c r="B56" s="3">
        <v>18419.300781000002</v>
      </c>
      <c r="C56" s="7">
        <f t="shared" si="0"/>
        <v>1.0010347950810683E-3</v>
      </c>
      <c r="D56" s="3">
        <v>106.184827</v>
      </c>
      <c r="E56" s="7">
        <f t="shared" si="1"/>
        <v>5.937842347205402E-3</v>
      </c>
      <c r="F56" s="3">
        <v>102.900002</v>
      </c>
      <c r="G56" s="7">
        <f t="shared" si="2"/>
        <v>5.7668264249208789E-3</v>
      </c>
      <c r="H56" s="3">
        <v>57.59</v>
      </c>
      <c r="I56" s="7">
        <f t="shared" si="3"/>
        <v>2.2624608816996794E-3</v>
      </c>
      <c r="J56" s="3">
        <v>41.001162000000001</v>
      </c>
      <c r="K56" s="7">
        <f t="shared" si="4"/>
        <v>-1.4556172630375563E-3</v>
      </c>
      <c r="L56" s="3">
        <v>88.470000999999996</v>
      </c>
      <c r="M56" s="7">
        <f t="shared" si="5"/>
        <v>5.6837557612394729E-3</v>
      </c>
      <c r="N56" s="3">
        <v>15.98</v>
      </c>
      <c r="O56" s="7">
        <f t="shared" si="6"/>
        <v>-9.9131976402228039E-3</v>
      </c>
      <c r="P56" s="3">
        <v>47.203890000000001</v>
      </c>
      <c r="Q56" s="7">
        <f t="shared" si="7"/>
        <v>-7.9597940744690066E-3</v>
      </c>
      <c r="R56" s="3">
        <v>7.88</v>
      </c>
      <c r="S56" s="7">
        <f t="shared" si="8"/>
        <v>2.7379400260756137E-2</v>
      </c>
      <c r="T56" s="3">
        <v>66.724948999999995</v>
      </c>
      <c r="U56" s="7">
        <f t="shared" si="9"/>
        <v>-4.2963098857283777E-3</v>
      </c>
      <c r="V56" s="3">
        <v>50.013312999999997</v>
      </c>
      <c r="W56" s="7">
        <f t="shared" si="10"/>
        <v>-7.2834289402352592E-3</v>
      </c>
      <c r="X56" s="3">
        <v>155.73070300000001</v>
      </c>
      <c r="Y56" s="7">
        <f t="shared" si="11"/>
        <v>-3.6276080401700828E-2</v>
      </c>
      <c r="Z56" s="3">
        <v>134.229996</v>
      </c>
      <c r="AA56" s="7">
        <f t="shared" si="12"/>
        <v>8.2016853639177434E-4</v>
      </c>
      <c r="AB56" s="3">
        <v>9.44</v>
      </c>
      <c r="AC56" s="7">
        <f t="shared" si="13"/>
        <v>1.0604453870626251E-3</v>
      </c>
      <c r="AD56" s="3">
        <v>69.986475999999996</v>
      </c>
      <c r="AE56" s="7">
        <f t="shared" si="14"/>
        <v>5.5563413182080357E-3</v>
      </c>
      <c r="AF56" s="3">
        <v>72.839995999999999</v>
      </c>
      <c r="AG56" s="7">
        <f t="shared" si="15"/>
        <v>1.9596779966495337E-2</v>
      </c>
      <c r="AH56" s="3">
        <v>10.74</v>
      </c>
      <c r="AI56" s="7">
        <f t="shared" si="16"/>
        <v>-5.872042068361083E-2</v>
      </c>
      <c r="AJ56" s="3">
        <v>86.077794999999995</v>
      </c>
      <c r="AK56" s="7">
        <f t="shared" si="17"/>
        <v>-3.4427604675807411E-3</v>
      </c>
      <c r="AL56" s="3">
        <v>9.2200000000000006</v>
      </c>
      <c r="AM56" s="7">
        <f t="shared" si="18"/>
        <v>8.7527352297593897E-3</v>
      </c>
      <c r="AN56" s="3">
        <v>0.22</v>
      </c>
      <c r="AO56" s="7">
        <f t="shared" si="19"/>
        <v>-4.3478260869565299E-2</v>
      </c>
      <c r="AP56" s="3">
        <v>7.11</v>
      </c>
      <c r="AQ56" s="7">
        <f t="shared" si="20"/>
        <v>-2.4691358024691357E-2</v>
      </c>
    </row>
    <row r="57" spans="1:43" x14ac:dyDescent="0.3">
      <c r="A57" s="4">
        <v>42613</v>
      </c>
      <c r="B57" s="3">
        <v>18400.880859000001</v>
      </c>
      <c r="C57" s="7">
        <f t="shared" si="0"/>
        <v>-2.8947139549714285E-3</v>
      </c>
      <c r="D57" s="3">
        <v>105.55804000000001</v>
      </c>
      <c r="E57" s="7">
        <f t="shared" si="1"/>
        <v>9.4338484753708762E-4</v>
      </c>
      <c r="F57" s="3">
        <v>102.30999799999999</v>
      </c>
      <c r="G57" s="7">
        <f t="shared" si="2"/>
        <v>3.0391960784312833E-3</v>
      </c>
      <c r="H57" s="3">
        <v>57.459999000000003</v>
      </c>
      <c r="I57" s="7">
        <f t="shared" si="3"/>
        <v>-7.4278805912572077E-3</v>
      </c>
      <c r="J57" s="3">
        <v>41.060930999999997</v>
      </c>
      <c r="K57" s="7">
        <f t="shared" si="4"/>
        <v>-2.1786568083701496E-3</v>
      </c>
      <c r="L57" s="3">
        <v>87.970000999999996</v>
      </c>
      <c r="M57" s="7">
        <f t="shared" si="5"/>
        <v>-8.6770004209376639E-3</v>
      </c>
      <c r="N57" s="3">
        <v>16.139999</v>
      </c>
      <c r="O57" s="7">
        <f t="shared" si="6"/>
        <v>1.5512254699829864E-3</v>
      </c>
      <c r="P57" s="3">
        <v>47.582638000000003</v>
      </c>
      <c r="Q57" s="7">
        <f t="shared" si="7"/>
        <v>-3.3403005577193889E-3</v>
      </c>
      <c r="R57" s="3">
        <v>7.67</v>
      </c>
      <c r="S57" s="7">
        <f t="shared" si="8"/>
        <v>0</v>
      </c>
      <c r="T57" s="3">
        <v>67.012856999999997</v>
      </c>
      <c r="U57" s="7">
        <f t="shared" si="9"/>
        <v>0</v>
      </c>
      <c r="V57" s="3">
        <v>50.380254000000001</v>
      </c>
      <c r="W57" s="7">
        <f t="shared" si="10"/>
        <v>3.5559125329935881E-3</v>
      </c>
      <c r="X57" s="3">
        <v>161.59265099999999</v>
      </c>
      <c r="Y57" s="7">
        <f t="shared" si="11"/>
        <v>8.0260463291104145E-4</v>
      </c>
      <c r="Z57" s="3">
        <v>134.11999499999999</v>
      </c>
      <c r="AA57" s="7">
        <f t="shared" si="12"/>
        <v>1.4906039601503274E-4</v>
      </c>
      <c r="AB57" s="3">
        <v>9.43</v>
      </c>
      <c r="AC57" s="7">
        <f t="shared" si="13"/>
        <v>-2.4819027921406445E-2</v>
      </c>
      <c r="AD57" s="3">
        <v>69.599755999999999</v>
      </c>
      <c r="AE57" s="7">
        <f t="shared" si="14"/>
        <v>-2.8412676333131603E-3</v>
      </c>
      <c r="AF57" s="3">
        <v>71.440002000000007</v>
      </c>
      <c r="AG57" s="7">
        <f t="shared" si="15"/>
        <v>1.8230823677769514E-3</v>
      </c>
      <c r="AH57" s="3">
        <v>11.41</v>
      </c>
      <c r="AI57" s="7">
        <f t="shared" si="16"/>
        <v>-3.9562289562289576E-2</v>
      </c>
      <c r="AJ57" s="3">
        <v>86.375163999999998</v>
      </c>
      <c r="AK57" s="7">
        <f t="shared" si="17"/>
        <v>-4.3418336808264124E-3</v>
      </c>
      <c r="AL57" s="3">
        <v>9.14</v>
      </c>
      <c r="AM57" s="7">
        <f t="shared" si="18"/>
        <v>-2.6624068157614533E-2</v>
      </c>
      <c r="AN57" s="3">
        <v>0.23</v>
      </c>
      <c r="AO57" s="7">
        <f t="shared" si="19"/>
        <v>-4.166666666666663E-2</v>
      </c>
      <c r="AP57" s="3">
        <v>7.29</v>
      </c>
      <c r="AQ57" s="7">
        <f t="shared" si="20"/>
        <v>-3.8258575197889222E-2</v>
      </c>
    </row>
    <row r="58" spans="1:43" x14ac:dyDescent="0.3">
      <c r="A58" s="4">
        <v>42612</v>
      </c>
      <c r="B58" s="3">
        <v>18454.300781000002</v>
      </c>
      <c r="C58" s="7">
        <f t="shared" si="0"/>
        <v>-2.6314369939259841E-3</v>
      </c>
      <c r="D58" s="3">
        <v>105.458552</v>
      </c>
      <c r="E58" s="7">
        <f t="shared" si="1"/>
        <v>-7.6764609730005651E-3</v>
      </c>
      <c r="F58" s="3">
        <v>102</v>
      </c>
      <c r="G58" s="7">
        <f t="shared" si="2"/>
        <v>-2.9325805591619014E-3</v>
      </c>
      <c r="H58" s="3">
        <v>57.889999000000003</v>
      </c>
      <c r="I58" s="7">
        <f t="shared" si="3"/>
        <v>-3.6144407440426018E-3</v>
      </c>
      <c r="J58" s="3">
        <v>41.150584000000002</v>
      </c>
      <c r="K58" s="7">
        <f t="shared" si="4"/>
        <v>0</v>
      </c>
      <c r="L58" s="3">
        <v>88.739998</v>
      </c>
      <c r="M58" s="7">
        <f t="shared" si="5"/>
        <v>1.766056253419368E-2</v>
      </c>
      <c r="N58" s="3">
        <v>16.115000999999999</v>
      </c>
      <c r="O58" s="7">
        <f t="shared" si="6"/>
        <v>2.2095982259230817E-2</v>
      </c>
      <c r="P58" s="3">
        <v>47.742111000000001</v>
      </c>
      <c r="Q58" s="7">
        <f t="shared" si="7"/>
        <v>1.3542184556427417E-2</v>
      </c>
      <c r="R58" s="3">
        <v>7.67</v>
      </c>
      <c r="S58" s="7">
        <f t="shared" si="8"/>
        <v>1.8592297476759612E-2</v>
      </c>
      <c r="T58" s="3">
        <v>67.012856999999997</v>
      </c>
      <c r="U58" s="7">
        <f t="shared" si="9"/>
        <v>8.2151361439375403E-3</v>
      </c>
      <c r="V58" s="3">
        <v>50.201740999999998</v>
      </c>
      <c r="W58" s="7">
        <f t="shared" si="10"/>
        <v>2.1388164051711955E-2</v>
      </c>
      <c r="X58" s="3">
        <v>161.46306000000001</v>
      </c>
      <c r="Y58" s="7">
        <f t="shared" si="11"/>
        <v>-1.2318508630925318E-2</v>
      </c>
      <c r="Z58" s="3">
        <v>134.10000600000001</v>
      </c>
      <c r="AA58" s="7">
        <f t="shared" si="12"/>
        <v>-3.3444814562103575E-3</v>
      </c>
      <c r="AB58" s="3">
        <v>9.67</v>
      </c>
      <c r="AC58" s="7">
        <f t="shared" si="13"/>
        <v>-1.4271151885830835E-2</v>
      </c>
      <c r="AD58" s="3">
        <v>69.798070999999993</v>
      </c>
      <c r="AE58" s="7">
        <f t="shared" si="14"/>
        <v>-9.289290909019976E-3</v>
      </c>
      <c r="AF58" s="3">
        <v>71.309997999999993</v>
      </c>
      <c r="AG58" s="7">
        <f t="shared" si="15"/>
        <v>-1.2605601887799578E-3</v>
      </c>
      <c r="AH58" s="3">
        <v>11.88</v>
      </c>
      <c r="AI58" s="7">
        <f t="shared" si="16"/>
        <v>9.3457943925234765E-3</v>
      </c>
      <c r="AJ58" s="3">
        <v>86.751825999999994</v>
      </c>
      <c r="AK58" s="7">
        <f t="shared" si="17"/>
        <v>-3.642983588524995E-3</v>
      </c>
      <c r="AL58" s="3">
        <v>9.39</v>
      </c>
      <c r="AM58" s="7">
        <f t="shared" si="18"/>
        <v>2.1344717182498751E-3</v>
      </c>
      <c r="AN58" s="3">
        <v>0.24</v>
      </c>
      <c r="AO58" s="7">
        <f t="shared" si="19"/>
        <v>-4.0000000000000036E-2</v>
      </c>
      <c r="AP58" s="3">
        <v>7.58</v>
      </c>
      <c r="AQ58" s="7">
        <f t="shared" si="20"/>
        <v>-2.4453024453024441E-2</v>
      </c>
    </row>
    <row r="59" spans="1:43" x14ac:dyDescent="0.3">
      <c r="A59" s="4">
        <v>42611</v>
      </c>
      <c r="B59" s="3">
        <v>18502.990234000001</v>
      </c>
      <c r="C59" s="7">
        <f t="shared" si="0"/>
        <v>5.848736135835253E-3</v>
      </c>
      <c r="D59" s="3">
        <v>106.27436299999999</v>
      </c>
      <c r="E59" s="7">
        <f t="shared" si="1"/>
        <v>-1.1221523504298947E-3</v>
      </c>
      <c r="F59" s="3">
        <v>102.300003</v>
      </c>
      <c r="G59" s="7">
        <f t="shared" si="2"/>
        <v>2.3516069439861731E-3</v>
      </c>
      <c r="H59" s="3">
        <v>58.099997999999999</v>
      </c>
      <c r="I59" s="7">
        <f t="shared" si="3"/>
        <v>1.2062554059324437E-3</v>
      </c>
      <c r="J59" s="3">
        <v>41.150584000000002</v>
      </c>
      <c r="K59" s="7">
        <f t="shared" si="4"/>
        <v>1.2118993184897509E-3</v>
      </c>
      <c r="L59" s="3">
        <v>87.199996999999996</v>
      </c>
      <c r="M59" s="7">
        <f t="shared" si="5"/>
        <v>-8.0210842679417915E-4</v>
      </c>
      <c r="N59" s="3">
        <v>15.766622</v>
      </c>
      <c r="O59" s="7">
        <f t="shared" si="6"/>
        <v>3.1666008456017192E-3</v>
      </c>
      <c r="P59" s="3">
        <v>47.104216999999998</v>
      </c>
      <c r="Q59" s="7">
        <f t="shared" si="7"/>
        <v>3.1839827626252148E-3</v>
      </c>
      <c r="R59" s="3">
        <v>7.53</v>
      </c>
      <c r="S59" s="7">
        <f t="shared" si="8"/>
        <v>2.4489795918367419E-2</v>
      </c>
      <c r="T59" s="3">
        <v>66.466823000000005</v>
      </c>
      <c r="U59" s="7">
        <f t="shared" si="9"/>
        <v>1.1023789080287338E-2</v>
      </c>
      <c r="V59" s="3">
        <v>49.150502000000003</v>
      </c>
      <c r="W59" s="7">
        <f t="shared" si="10"/>
        <v>2.1645081213718553E-2</v>
      </c>
      <c r="X59" s="3">
        <v>163.47685100000001</v>
      </c>
      <c r="Y59" s="7">
        <f t="shared" si="11"/>
        <v>3.0502303407620168E-4</v>
      </c>
      <c r="Z59" s="3">
        <v>134.550006</v>
      </c>
      <c r="AA59" s="7">
        <f t="shared" si="12"/>
        <v>6.5496041424986107E-3</v>
      </c>
      <c r="AB59" s="3">
        <v>9.81</v>
      </c>
      <c r="AC59" s="7">
        <f t="shared" si="13"/>
        <v>-8.0889787664307766E-3</v>
      </c>
      <c r="AD59" s="3">
        <v>70.452524999999994</v>
      </c>
      <c r="AE59" s="7">
        <f t="shared" si="14"/>
        <v>9.9503132289129326E-3</v>
      </c>
      <c r="AF59" s="3">
        <v>71.400002000000001</v>
      </c>
      <c r="AG59" s="7">
        <f t="shared" si="15"/>
        <v>3.6548074733595559E-3</v>
      </c>
      <c r="AH59" s="3">
        <v>11.77</v>
      </c>
      <c r="AI59" s="7">
        <f t="shared" si="16"/>
        <v>1.0238947689792832E-2</v>
      </c>
      <c r="AJ59" s="3">
        <v>87.069017000000002</v>
      </c>
      <c r="AK59" s="7">
        <f t="shared" si="17"/>
        <v>6.5314420470696799E-3</v>
      </c>
      <c r="AL59" s="3">
        <v>9.3699999999999992</v>
      </c>
      <c r="AM59" s="7">
        <f t="shared" si="18"/>
        <v>2.8540065861690334E-2</v>
      </c>
      <c r="AN59" s="3">
        <v>0.25</v>
      </c>
      <c r="AO59" s="7">
        <f t="shared" si="19"/>
        <v>0</v>
      </c>
      <c r="AP59" s="3">
        <v>7.77</v>
      </c>
      <c r="AQ59" s="7">
        <f t="shared" si="20"/>
        <v>1.0403120936280708E-2</v>
      </c>
    </row>
    <row r="60" spans="1:43" x14ac:dyDescent="0.3">
      <c r="A60" s="4">
        <v>42608</v>
      </c>
      <c r="B60" s="3">
        <v>18395.400390999999</v>
      </c>
      <c r="C60" s="7">
        <f t="shared" si="0"/>
        <v>-2.8734055971084693E-3</v>
      </c>
      <c r="D60" s="3">
        <v>106.393753</v>
      </c>
      <c r="E60" s="7">
        <f t="shared" si="1"/>
        <v>-5.8566238485900923E-3</v>
      </c>
      <c r="F60" s="3">
        <v>102.05999799999999</v>
      </c>
      <c r="G60" s="7">
        <f t="shared" si="2"/>
        <v>3.6384697878164562E-3</v>
      </c>
      <c r="H60" s="3">
        <v>58.029998999999997</v>
      </c>
      <c r="I60" s="7">
        <f t="shared" si="3"/>
        <v>-2.4067217605887592E-3</v>
      </c>
      <c r="J60" s="3">
        <v>41.100774000000001</v>
      </c>
      <c r="K60" s="7">
        <f t="shared" si="4"/>
        <v>3.8929306556063636E-3</v>
      </c>
      <c r="L60" s="3">
        <v>87.269997000000004</v>
      </c>
      <c r="M60" s="7">
        <f t="shared" si="5"/>
        <v>-1.3731777248332522E-3</v>
      </c>
      <c r="N60" s="3">
        <v>15.716853</v>
      </c>
      <c r="O60" s="7">
        <f t="shared" si="6"/>
        <v>1.6741819492579246E-2</v>
      </c>
      <c r="P60" s="3">
        <v>46.954714000000003</v>
      </c>
      <c r="Q60" s="7">
        <f t="shared" si="7"/>
        <v>8.3475926641756182E-3</v>
      </c>
      <c r="R60" s="3">
        <v>7.35</v>
      </c>
      <c r="S60" s="7">
        <f t="shared" si="8"/>
        <v>-1.3586956521740579E-3</v>
      </c>
      <c r="T60" s="3">
        <v>65.742096000000004</v>
      </c>
      <c r="U60" s="7">
        <f t="shared" si="9"/>
        <v>2.2703428437382822E-3</v>
      </c>
      <c r="V60" s="3">
        <v>48.109175</v>
      </c>
      <c r="W60" s="7">
        <f t="shared" si="10"/>
        <v>2.6870013104558499E-3</v>
      </c>
      <c r="X60" s="3">
        <v>163.42700199999999</v>
      </c>
      <c r="Y60" s="7">
        <f t="shared" si="11"/>
        <v>-5.6411959549109714E-3</v>
      </c>
      <c r="Z60" s="3">
        <v>133.67449099999999</v>
      </c>
      <c r="AA60" s="7">
        <f t="shared" si="12"/>
        <v>-7.9007029173672194E-3</v>
      </c>
      <c r="AB60" s="3">
        <v>9.89</v>
      </c>
      <c r="AC60" s="7">
        <f t="shared" si="13"/>
        <v>-8.0240722166499134E-3</v>
      </c>
      <c r="AD60" s="3">
        <v>69.758407000000005</v>
      </c>
      <c r="AE60" s="7">
        <f t="shared" si="14"/>
        <v>-6.4962472586517217E-3</v>
      </c>
      <c r="AF60" s="3">
        <v>71.139999000000003</v>
      </c>
      <c r="AG60" s="7">
        <f t="shared" si="15"/>
        <v>-1.1233080437613729E-3</v>
      </c>
      <c r="AH60" s="3">
        <v>11.650709000000001</v>
      </c>
      <c r="AI60" s="7">
        <f t="shared" si="16"/>
        <v>-3.1405009933521799E-2</v>
      </c>
      <c r="AJ60" s="3">
        <v>86.504020999999995</v>
      </c>
      <c r="AK60" s="7">
        <f t="shared" si="17"/>
        <v>-2.1724522055901474E-3</v>
      </c>
      <c r="AL60" s="3">
        <v>9.11</v>
      </c>
      <c r="AM60" s="7">
        <f t="shared" si="18"/>
        <v>-8.705114254624613E-3</v>
      </c>
      <c r="AN60" s="3">
        <v>0.25</v>
      </c>
      <c r="AO60" s="7">
        <f t="shared" si="19"/>
        <v>4.1666666666666741E-2</v>
      </c>
      <c r="AP60" s="3">
        <v>7.69</v>
      </c>
      <c r="AQ60" s="7">
        <f t="shared" si="20"/>
        <v>3.9189189189189122E-2</v>
      </c>
    </row>
    <row r="61" spans="1:43" x14ac:dyDescent="0.3">
      <c r="A61" s="4">
        <v>42607</v>
      </c>
      <c r="B61" s="3">
        <v>18448.410156000002</v>
      </c>
      <c r="C61" s="7">
        <f t="shared" si="0"/>
        <v>-1.7893757513348651E-3</v>
      </c>
      <c r="D61" s="3">
        <v>107.020532</v>
      </c>
      <c r="E61" s="7">
        <f t="shared" si="1"/>
        <v>-4.2580735130037795E-3</v>
      </c>
      <c r="F61" s="3">
        <v>101.69000200000001</v>
      </c>
      <c r="G61" s="7">
        <f t="shared" si="2"/>
        <v>5.4380364389761127E-3</v>
      </c>
      <c r="H61" s="3">
        <v>58.169998</v>
      </c>
      <c r="I61" s="7">
        <f t="shared" si="3"/>
        <v>3.7963243520910961E-3</v>
      </c>
      <c r="J61" s="3">
        <v>40.941392</v>
      </c>
      <c r="K61" s="7">
        <f t="shared" si="4"/>
        <v>7.3043015841811609E-4</v>
      </c>
      <c r="L61" s="3">
        <v>87.389999000000003</v>
      </c>
      <c r="M61" s="7">
        <f t="shared" si="5"/>
        <v>3.4338369570319216E-4</v>
      </c>
      <c r="N61" s="3">
        <v>15.458057</v>
      </c>
      <c r="O61" s="7">
        <f t="shared" si="6"/>
        <v>8.4415076073185435E-3</v>
      </c>
      <c r="P61" s="3">
        <v>46.566000000000003</v>
      </c>
      <c r="Q61" s="7">
        <f t="shared" si="7"/>
        <v>1.2859146491810414E-3</v>
      </c>
      <c r="R61" s="3">
        <v>7.36</v>
      </c>
      <c r="S61" s="7">
        <f t="shared" si="8"/>
        <v>1.2379642365887289E-2</v>
      </c>
      <c r="T61" s="3">
        <v>65.593176999999997</v>
      </c>
      <c r="U61" s="7">
        <f t="shared" si="9"/>
        <v>1.8196066715907566E-3</v>
      </c>
      <c r="V61" s="3">
        <v>47.980252</v>
      </c>
      <c r="W61" s="7">
        <f t="shared" si="10"/>
        <v>-5.1408526955585288E-3</v>
      </c>
      <c r="X61" s="3">
        <v>164.35415599999999</v>
      </c>
      <c r="Y61" s="7">
        <f t="shared" si="11"/>
        <v>-1.6172388050731401E-2</v>
      </c>
      <c r="Z61" s="3">
        <v>134.739024</v>
      </c>
      <c r="AA61" s="7">
        <f t="shared" si="12"/>
        <v>2.7394916322518448E-3</v>
      </c>
      <c r="AB61" s="3">
        <v>9.9700000000000006</v>
      </c>
      <c r="AC61" s="7">
        <f t="shared" si="13"/>
        <v>1.4242115971515812E-2</v>
      </c>
      <c r="AD61" s="3">
        <v>70.214538000000005</v>
      </c>
      <c r="AE61" s="7">
        <f t="shared" si="14"/>
        <v>-1.2825951824324E-2</v>
      </c>
      <c r="AF61" s="3">
        <v>71.220000999999996</v>
      </c>
      <c r="AG61" s="7">
        <f t="shared" si="15"/>
        <v>-1.3983136619833747E-2</v>
      </c>
      <c r="AH61" s="3">
        <v>12.028463</v>
      </c>
      <c r="AI61" s="7">
        <f t="shared" si="16"/>
        <v>1.7661948217992718E-2</v>
      </c>
      <c r="AJ61" s="3">
        <v>86.692356000000004</v>
      </c>
      <c r="AK61" s="7">
        <f t="shared" si="17"/>
        <v>-6.3621581644609515E-3</v>
      </c>
      <c r="AL61" s="3">
        <v>9.19</v>
      </c>
      <c r="AM61" s="7">
        <f t="shared" si="18"/>
        <v>1.5469613259668336E-2</v>
      </c>
      <c r="AN61" s="3">
        <v>0.24</v>
      </c>
      <c r="AO61" s="7">
        <f t="shared" si="19"/>
        <v>-7.6923076923076983E-2</v>
      </c>
      <c r="AP61" s="3">
        <v>7.4</v>
      </c>
      <c r="AQ61" s="7">
        <f t="shared" si="20"/>
        <v>-1.3495276653171517E-3</v>
      </c>
    </row>
    <row r="62" spans="1:43" x14ac:dyDescent="0.3">
      <c r="A62" s="4">
        <v>42606</v>
      </c>
      <c r="B62" s="3">
        <v>18481.480468999998</v>
      </c>
      <c r="C62" s="7">
        <f t="shared" si="0"/>
        <v>-3.548781182619809E-3</v>
      </c>
      <c r="D62" s="3">
        <v>107.478182</v>
      </c>
      <c r="E62" s="7">
        <f t="shared" si="1"/>
        <v>-7.5332987306138133E-3</v>
      </c>
      <c r="F62" s="3">
        <v>101.139999</v>
      </c>
      <c r="G62" s="7">
        <f t="shared" si="2"/>
        <v>0</v>
      </c>
      <c r="H62" s="3">
        <v>57.950001</v>
      </c>
      <c r="I62" s="7">
        <f t="shared" si="3"/>
        <v>1.0364830028757321E-3</v>
      </c>
      <c r="J62" s="3">
        <v>40.911509000000002</v>
      </c>
      <c r="K62" s="7">
        <f t="shared" si="4"/>
        <v>-1.0361455109295203E-2</v>
      </c>
      <c r="L62" s="3">
        <v>87.360000999999997</v>
      </c>
      <c r="M62" s="7">
        <f t="shared" si="5"/>
        <v>-4.7846662654895677E-3</v>
      </c>
      <c r="N62" s="3">
        <v>15.328659999999999</v>
      </c>
      <c r="O62" s="7">
        <f t="shared" si="6"/>
        <v>3.2573042600207991E-3</v>
      </c>
      <c r="P62" s="3">
        <v>46.506197</v>
      </c>
      <c r="Q62" s="7">
        <f t="shared" si="7"/>
        <v>1.5024626786539486E-3</v>
      </c>
      <c r="R62" s="3">
        <v>7.27</v>
      </c>
      <c r="S62" s="7">
        <f t="shared" si="8"/>
        <v>-1.7567567567567721E-2</v>
      </c>
      <c r="T62" s="3">
        <v>65.474040000000002</v>
      </c>
      <c r="U62" s="7">
        <f t="shared" si="9"/>
        <v>2.736810969003578E-3</v>
      </c>
      <c r="V62" s="3">
        <v>48.228186000000001</v>
      </c>
      <c r="W62" s="7">
        <f t="shared" si="10"/>
        <v>4.5445321051116316E-3</v>
      </c>
      <c r="X62" s="3">
        <v>167.055848</v>
      </c>
      <c r="Y62" s="7">
        <f t="shared" si="11"/>
        <v>1.2548241576679775E-3</v>
      </c>
      <c r="Z62" s="3">
        <v>134.37091599999999</v>
      </c>
      <c r="AA62" s="7">
        <f t="shared" si="12"/>
        <v>-8.5156685701432977E-3</v>
      </c>
      <c r="AB62" s="3">
        <v>9.83</v>
      </c>
      <c r="AC62" s="7">
        <f t="shared" si="13"/>
        <v>-2.9615004935834244E-2</v>
      </c>
      <c r="AD62" s="3">
        <v>71.126806999999999</v>
      </c>
      <c r="AE62" s="7">
        <f t="shared" si="14"/>
        <v>9.5707286573476491E-3</v>
      </c>
      <c r="AF62" s="3">
        <v>72.230002999999996</v>
      </c>
      <c r="AG62" s="7">
        <f t="shared" si="15"/>
        <v>3.6126441070911675E-3</v>
      </c>
      <c r="AH62" s="3">
        <v>11.819704</v>
      </c>
      <c r="AI62" s="7">
        <f t="shared" si="16"/>
        <v>-6.8911565022401033E-2</v>
      </c>
      <c r="AJ62" s="3">
        <v>87.247438000000002</v>
      </c>
      <c r="AK62" s="7">
        <f t="shared" si="17"/>
        <v>3.4199165047308355E-3</v>
      </c>
      <c r="AL62" s="3">
        <v>9.0500000000000007</v>
      </c>
      <c r="AM62" s="7">
        <f t="shared" si="18"/>
        <v>-2.2678185745140245E-2</v>
      </c>
      <c r="AN62" s="3">
        <v>0.26</v>
      </c>
      <c r="AO62" s="7">
        <f t="shared" si="19"/>
        <v>0</v>
      </c>
      <c r="AP62" s="3">
        <v>7.41</v>
      </c>
      <c r="AQ62" s="7">
        <f t="shared" si="20"/>
        <v>-5.6050955414012726E-2</v>
      </c>
    </row>
    <row r="63" spans="1:43" x14ac:dyDescent="0.3">
      <c r="A63" s="4">
        <v>42605</v>
      </c>
      <c r="B63" s="3">
        <v>18547.300781000002</v>
      </c>
      <c r="C63" s="7">
        <f t="shared" si="0"/>
        <v>9.6499831485652443E-4</v>
      </c>
      <c r="D63" s="3">
        <v>108.293993</v>
      </c>
      <c r="E63" s="7">
        <f t="shared" si="1"/>
        <v>3.1333213216198086E-3</v>
      </c>
      <c r="F63" s="3">
        <v>101.139999</v>
      </c>
      <c r="G63" s="7">
        <f t="shared" si="2"/>
        <v>8.9784618710786468E-3</v>
      </c>
      <c r="H63" s="3">
        <v>57.889999000000003</v>
      </c>
      <c r="I63" s="7">
        <f t="shared" si="3"/>
        <v>3.8148258649151057E-3</v>
      </c>
      <c r="J63" s="3">
        <v>41.339849999999998</v>
      </c>
      <c r="K63" s="7">
        <f t="shared" si="4"/>
        <v>6.7928074986902676E-3</v>
      </c>
      <c r="L63" s="3">
        <v>87.779999000000004</v>
      </c>
      <c r="M63" s="7">
        <f t="shared" si="5"/>
        <v>2.5125742922014194E-3</v>
      </c>
      <c r="N63" s="3">
        <v>15.278892000000001</v>
      </c>
      <c r="O63" s="7">
        <f t="shared" si="6"/>
        <v>1.1198980468082764E-2</v>
      </c>
      <c r="P63" s="3">
        <v>46.436427999999999</v>
      </c>
      <c r="Q63" s="7">
        <f t="shared" si="7"/>
        <v>-1.5002086711154439E-3</v>
      </c>
      <c r="R63" s="3">
        <v>7.4</v>
      </c>
      <c r="S63" s="7">
        <f t="shared" si="8"/>
        <v>4.070556309362372E-3</v>
      </c>
      <c r="T63" s="3">
        <v>65.295338999999998</v>
      </c>
      <c r="U63" s="7">
        <f t="shared" si="9"/>
        <v>-4.5602665400024112E-4</v>
      </c>
      <c r="V63" s="3">
        <v>48.010002999999998</v>
      </c>
      <c r="W63" s="7">
        <f t="shared" si="10"/>
        <v>-4.5239727656355422E-3</v>
      </c>
      <c r="X63" s="3">
        <v>166.846485</v>
      </c>
      <c r="Y63" s="7">
        <f t="shared" si="11"/>
        <v>-3.453624081898532E-3</v>
      </c>
      <c r="Z63" s="3">
        <v>135.525002</v>
      </c>
      <c r="AA63" s="7">
        <f t="shared" si="12"/>
        <v>6.5021859793805703E-3</v>
      </c>
      <c r="AB63" s="3">
        <v>10.130000000000001</v>
      </c>
      <c r="AC63" s="7">
        <f t="shared" si="13"/>
        <v>2.9702970297029729E-3</v>
      </c>
      <c r="AD63" s="3">
        <v>70.452524999999994</v>
      </c>
      <c r="AE63" s="7">
        <f t="shared" si="14"/>
        <v>9.3763909320645489E-3</v>
      </c>
      <c r="AF63" s="3">
        <v>71.970000999999996</v>
      </c>
      <c r="AG63" s="7">
        <f t="shared" si="15"/>
        <v>-1.0041210868275585E-2</v>
      </c>
      <c r="AH63" s="3">
        <v>12.694502</v>
      </c>
      <c r="AI63" s="7">
        <f t="shared" si="16"/>
        <v>8.0372299239888534E-2</v>
      </c>
      <c r="AJ63" s="3">
        <v>86.950075999999996</v>
      </c>
      <c r="AK63" s="7">
        <f t="shared" si="17"/>
        <v>-3.0684825885461953E-3</v>
      </c>
      <c r="AL63" s="3">
        <v>9.26</v>
      </c>
      <c r="AM63" s="7">
        <f t="shared" si="18"/>
        <v>2.3204419889502725E-2</v>
      </c>
      <c r="AN63" s="3">
        <v>0.26</v>
      </c>
      <c r="AO63" s="7">
        <f t="shared" si="19"/>
        <v>4.0000000000000036E-2</v>
      </c>
      <c r="AP63" s="3">
        <v>7.85</v>
      </c>
      <c r="AQ63" s="7">
        <f t="shared" si="20"/>
        <v>3.4255599472990728E-2</v>
      </c>
    </row>
    <row r="64" spans="1:43" x14ac:dyDescent="0.3">
      <c r="A64" s="4">
        <v>42604</v>
      </c>
      <c r="B64" s="3">
        <v>18529.419922000001</v>
      </c>
      <c r="C64" s="7">
        <f t="shared" si="0"/>
        <v>-1.2478265604537464E-3</v>
      </c>
      <c r="D64" s="3">
        <v>107.955733</v>
      </c>
      <c r="E64" s="7">
        <f t="shared" si="1"/>
        <v>-7.7724834213974692E-3</v>
      </c>
      <c r="F64" s="3">
        <v>100.239998</v>
      </c>
      <c r="G64" s="7">
        <f t="shared" si="2"/>
        <v>-7.9746810207326213E-4</v>
      </c>
      <c r="H64" s="3">
        <v>57.669998</v>
      </c>
      <c r="I64" s="7">
        <f t="shared" si="3"/>
        <v>8.6773691197050695E-4</v>
      </c>
      <c r="J64" s="3">
        <v>41.060930999999997</v>
      </c>
      <c r="K64" s="7">
        <f t="shared" si="4"/>
        <v>-2.4201089276177923E-3</v>
      </c>
      <c r="L64" s="3">
        <v>87.559997999999993</v>
      </c>
      <c r="M64" s="7">
        <f t="shared" si="5"/>
        <v>-7.0310954865050457E-3</v>
      </c>
      <c r="N64" s="3">
        <v>15.109679</v>
      </c>
      <c r="O64" s="7">
        <f t="shared" si="6"/>
        <v>-2.6281405834412963E-3</v>
      </c>
      <c r="P64" s="3">
        <v>46.506197</v>
      </c>
      <c r="Q64" s="7">
        <f t="shared" si="7"/>
        <v>2.7939291139433831E-3</v>
      </c>
      <c r="R64" s="3">
        <v>7.37</v>
      </c>
      <c r="S64" s="7">
        <f t="shared" si="8"/>
        <v>-1.6021361815754309E-2</v>
      </c>
      <c r="T64" s="3">
        <v>65.325129000000004</v>
      </c>
      <c r="U64" s="7">
        <f t="shared" si="9"/>
        <v>-9.1099302231179013E-4</v>
      </c>
      <c r="V64" s="3">
        <v>48.228186000000001</v>
      </c>
      <c r="W64" s="7">
        <f t="shared" si="10"/>
        <v>-4.1110494459450919E-4</v>
      </c>
      <c r="X64" s="3">
        <v>167.42470700000001</v>
      </c>
      <c r="Y64" s="7">
        <f t="shared" si="11"/>
        <v>-4.7614850431687561E-4</v>
      </c>
      <c r="Z64" s="3">
        <v>134.649486</v>
      </c>
      <c r="AA64" s="7">
        <f t="shared" si="12"/>
        <v>-8.8595375705613488E-4</v>
      </c>
      <c r="AB64" s="3">
        <v>10.1</v>
      </c>
      <c r="AC64" s="7">
        <f t="shared" si="13"/>
        <v>-1.4634146341463428E-2</v>
      </c>
      <c r="AD64" s="3">
        <v>69.798070999999993</v>
      </c>
      <c r="AE64" s="7">
        <f t="shared" si="14"/>
        <v>3.8504914652730537E-3</v>
      </c>
      <c r="AF64" s="3">
        <v>72.699996999999996</v>
      </c>
      <c r="AG64" s="7">
        <f t="shared" si="15"/>
        <v>-1.5107952619364262E-3</v>
      </c>
      <c r="AH64" s="3">
        <v>11.750118000000001</v>
      </c>
      <c r="AI64" s="7">
        <f t="shared" si="16"/>
        <v>-5.2884542142788815E-2</v>
      </c>
      <c r="AJ64" s="3">
        <v>87.217702000000003</v>
      </c>
      <c r="AK64" s="7">
        <f t="shared" si="17"/>
        <v>2.1639475177204215E-3</v>
      </c>
      <c r="AL64" s="3">
        <v>9.0500000000000007</v>
      </c>
      <c r="AM64" s="7">
        <f t="shared" si="18"/>
        <v>-4.0296924708377424E-2</v>
      </c>
      <c r="AN64" s="3">
        <v>0.25</v>
      </c>
      <c r="AO64" s="7">
        <f t="shared" si="19"/>
        <v>-7.4074074074074181E-2</v>
      </c>
      <c r="AP64" s="3">
        <v>7.59</v>
      </c>
      <c r="AQ64" s="7">
        <f t="shared" si="20"/>
        <v>-5.5970149253731227E-2</v>
      </c>
    </row>
    <row r="65" spans="1:43" x14ac:dyDescent="0.3">
      <c r="A65" s="4">
        <v>42601</v>
      </c>
      <c r="B65" s="3">
        <v>18552.570312</v>
      </c>
      <c r="C65" s="7">
        <f t="shared" si="0"/>
        <v>-2.4265854861171832E-3</v>
      </c>
      <c r="D65" s="3">
        <v>108.80139</v>
      </c>
      <c r="E65" s="7">
        <f t="shared" si="1"/>
        <v>2.5669163170758402E-3</v>
      </c>
      <c r="F65" s="3">
        <v>100.32</v>
      </c>
      <c r="G65" s="7">
        <f t="shared" si="2"/>
        <v>-3.4766862715147617E-3</v>
      </c>
      <c r="H65" s="3">
        <v>57.619999</v>
      </c>
      <c r="I65" s="7">
        <f t="shared" si="3"/>
        <v>3.4723959539029181E-4</v>
      </c>
      <c r="J65" s="3">
        <v>41.160544000000002</v>
      </c>
      <c r="K65" s="7">
        <f t="shared" si="4"/>
        <v>4.3753192619511161E-3</v>
      </c>
      <c r="L65" s="3">
        <v>88.18</v>
      </c>
      <c r="M65" s="7">
        <f t="shared" si="5"/>
        <v>1.47639972255309E-3</v>
      </c>
      <c r="N65" s="3">
        <v>15.149494000000001</v>
      </c>
      <c r="O65" s="7">
        <f t="shared" si="6"/>
        <v>3.9577801440604521E-3</v>
      </c>
      <c r="P65" s="3">
        <v>46.376624</v>
      </c>
      <c r="Q65" s="7">
        <f t="shared" si="7"/>
        <v>6.4513729168846901E-4</v>
      </c>
      <c r="R65" s="3">
        <v>7.49</v>
      </c>
      <c r="S65" s="7">
        <f t="shared" si="8"/>
        <v>0</v>
      </c>
      <c r="T65" s="3">
        <v>65.384693999999996</v>
      </c>
      <c r="U65" s="7">
        <f t="shared" si="9"/>
        <v>-1.3646019093981332E-3</v>
      </c>
      <c r="V65" s="3">
        <v>48.248021000000001</v>
      </c>
      <c r="W65" s="7">
        <f t="shared" si="10"/>
        <v>2.472749803081431E-3</v>
      </c>
      <c r="X65" s="3">
        <v>167.50446400000001</v>
      </c>
      <c r="Y65" s="7">
        <f t="shared" si="11"/>
        <v>1.6095646033749134E-3</v>
      </c>
      <c r="Z65" s="3">
        <v>134.76888500000001</v>
      </c>
      <c r="AA65" s="7">
        <f t="shared" si="12"/>
        <v>4.8961747326763394E-3</v>
      </c>
      <c r="AB65" s="3">
        <v>10.25</v>
      </c>
      <c r="AC65" s="7">
        <f t="shared" si="13"/>
        <v>-2.9182879377431803E-3</v>
      </c>
      <c r="AD65" s="3">
        <v>69.530344999999997</v>
      </c>
      <c r="AE65" s="7">
        <f t="shared" si="14"/>
        <v>-2.5604646481525162E-3</v>
      </c>
      <c r="AF65" s="3">
        <v>72.809997999999993</v>
      </c>
      <c r="AG65" s="7">
        <f t="shared" si="15"/>
        <v>-2.0053902285845249E-2</v>
      </c>
      <c r="AH65" s="3">
        <v>12.406215</v>
      </c>
      <c r="AI65" s="7">
        <f t="shared" si="16"/>
        <v>-2.4237747124654097E-2</v>
      </c>
      <c r="AJ65" s="3">
        <v>87.029375000000002</v>
      </c>
      <c r="AK65" s="7">
        <f t="shared" si="17"/>
        <v>-1.2484540812736533E-2</v>
      </c>
      <c r="AL65" s="3">
        <v>9.43</v>
      </c>
      <c r="AM65" s="7">
        <f t="shared" si="18"/>
        <v>-1.0593220338982468E-3</v>
      </c>
      <c r="AN65" s="3">
        <v>0.27</v>
      </c>
      <c r="AO65" s="7">
        <f t="shared" si="19"/>
        <v>-6.8965517241379226E-2</v>
      </c>
      <c r="AP65" s="3">
        <v>8.0399999999999991</v>
      </c>
      <c r="AQ65" s="7">
        <f t="shared" si="20"/>
        <v>-4.2857142857143038E-2</v>
      </c>
    </row>
    <row r="66" spans="1:43" x14ac:dyDescent="0.3">
      <c r="A66" s="4">
        <v>42600</v>
      </c>
      <c r="B66" s="3">
        <v>18597.699218999998</v>
      </c>
      <c r="C66" s="7">
        <f t="shared" si="0"/>
        <v>1.279199065988168E-3</v>
      </c>
      <c r="D66" s="3">
        <v>108.52282099999999</v>
      </c>
      <c r="E66" s="7">
        <f t="shared" si="1"/>
        <v>-1.2818176007006743E-3</v>
      </c>
      <c r="F66" s="3">
        <v>100.66999800000001</v>
      </c>
      <c r="G66" s="7">
        <f t="shared" si="2"/>
        <v>9.7291978855327255E-3</v>
      </c>
      <c r="H66" s="3">
        <v>57.599997999999999</v>
      </c>
      <c r="I66" s="7">
        <f t="shared" si="3"/>
        <v>6.9487490106201477E-4</v>
      </c>
      <c r="J66" s="3">
        <v>40.981237999999998</v>
      </c>
      <c r="K66" s="7">
        <f t="shared" si="4"/>
        <v>-1.6986201153649239E-3</v>
      </c>
      <c r="L66" s="3">
        <v>88.050003000000004</v>
      </c>
      <c r="M66" s="7">
        <f t="shared" si="5"/>
        <v>2.1625540386689401E-3</v>
      </c>
      <c r="N66" s="3">
        <v>15.089772</v>
      </c>
      <c r="O66" s="7">
        <f t="shared" si="6"/>
        <v>6.6008754217072863E-4</v>
      </c>
      <c r="P66" s="3">
        <v>46.346724000000002</v>
      </c>
      <c r="Q66" s="7">
        <f t="shared" si="7"/>
        <v>-2.7879372575659866E-3</v>
      </c>
      <c r="R66" s="3">
        <v>7.49</v>
      </c>
      <c r="S66" s="7">
        <f t="shared" si="8"/>
        <v>2.7434842249657088E-2</v>
      </c>
      <c r="T66" s="3">
        <v>65.474040000000002</v>
      </c>
      <c r="U66" s="7">
        <f t="shared" si="9"/>
        <v>9.1056297691682886E-4</v>
      </c>
      <c r="V66" s="3">
        <v>48.129010000000001</v>
      </c>
      <c r="W66" s="7">
        <f t="shared" si="10"/>
        <v>-1.645793692466313E-3</v>
      </c>
      <c r="X66" s="3">
        <v>167.235288</v>
      </c>
      <c r="Y66" s="7">
        <f t="shared" si="11"/>
        <v>-1.2503355586458431E-3</v>
      </c>
      <c r="Z66" s="3">
        <v>134.11224799999999</v>
      </c>
      <c r="AA66" s="7">
        <f t="shared" si="12"/>
        <v>-9.915466536275952E-3</v>
      </c>
      <c r="AB66" s="3">
        <v>10.28</v>
      </c>
      <c r="AC66" s="7">
        <f t="shared" si="13"/>
        <v>-4.3720930232558186E-2</v>
      </c>
      <c r="AD66" s="3">
        <v>69.708832000000001</v>
      </c>
      <c r="AE66" s="7">
        <f t="shared" si="14"/>
        <v>-4.6721509183891285E-3</v>
      </c>
      <c r="AF66" s="3">
        <v>74.300003000000004</v>
      </c>
      <c r="AG66" s="7">
        <f t="shared" si="15"/>
        <v>1.8785177567530509E-2</v>
      </c>
      <c r="AH66" s="3">
        <v>12.714383</v>
      </c>
      <c r="AI66" s="7">
        <f t="shared" si="16"/>
        <v>4.6644840407933819E-2</v>
      </c>
      <c r="AJ66" s="3">
        <v>88.129632999999998</v>
      </c>
      <c r="AK66" s="7">
        <f t="shared" si="17"/>
        <v>9.0795900900804138E-3</v>
      </c>
      <c r="AL66" s="3">
        <v>9.44</v>
      </c>
      <c r="AM66" s="7">
        <f t="shared" si="18"/>
        <v>1.5053763440860068E-2</v>
      </c>
      <c r="AN66" s="3">
        <v>0.28999999999999998</v>
      </c>
      <c r="AO66" s="7">
        <f t="shared" si="19"/>
        <v>7.4074074074073959E-2</v>
      </c>
      <c r="AP66" s="3">
        <v>8.4</v>
      </c>
      <c r="AQ66" s="7">
        <f t="shared" si="20"/>
        <v>4.6077210460772289E-2</v>
      </c>
    </row>
    <row r="67" spans="1:43" x14ac:dyDescent="0.3">
      <c r="A67" s="4">
        <v>42599</v>
      </c>
      <c r="B67" s="3">
        <v>18573.939452999999</v>
      </c>
      <c r="C67" s="7">
        <f t="shared" si="0"/>
        <v>1.1815383205784347E-3</v>
      </c>
      <c r="D67" s="3">
        <v>108.66210599999999</v>
      </c>
      <c r="E67" s="7">
        <f t="shared" si="1"/>
        <v>-1.4627469383655667E-3</v>
      </c>
      <c r="F67" s="3">
        <v>99.699996999999996</v>
      </c>
      <c r="G67" s="7">
        <f t="shared" si="2"/>
        <v>-8.9463321858117562E-3</v>
      </c>
      <c r="H67" s="3">
        <v>57.560001</v>
      </c>
      <c r="I67" s="7">
        <f t="shared" si="3"/>
        <v>2.089171345563523E-3</v>
      </c>
      <c r="J67" s="3">
        <v>41.050967999999997</v>
      </c>
      <c r="K67" s="7">
        <f t="shared" si="4"/>
        <v>-2.6621611220688512E-3</v>
      </c>
      <c r="L67" s="3">
        <v>87.860000999999997</v>
      </c>
      <c r="M67" s="7">
        <f t="shared" si="5"/>
        <v>1.3677114512813393E-3</v>
      </c>
      <c r="N67" s="3">
        <v>15.079818</v>
      </c>
      <c r="O67" s="7">
        <f t="shared" si="6"/>
        <v>-1.3183683808810631E-3</v>
      </c>
      <c r="P67" s="3">
        <v>46.476297000000002</v>
      </c>
      <c r="Q67" s="7">
        <f t="shared" si="7"/>
        <v>2.1456397877117617E-4</v>
      </c>
      <c r="R67" s="3">
        <v>7.29</v>
      </c>
      <c r="S67" s="7">
        <f t="shared" si="8"/>
        <v>-1.369863013698569E-3</v>
      </c>
      <c r="T67" s="3">
        <v>65.414475999999993</v>
      </c>
      <c r="U67" s="7">
        <f t="shared" si="9"/>
        <v>2.7393098342127775E-3</v>
      </c>
      <c r="V67" s="3">
        <v>48.208351</v>
      </c>
      <c r="W67" s="7">
        <f t="shared" si="10"/>
        <v>3.5095308772812306E-3</v>
      </c>
      <c r="X67" s="3">
        <v>167.44465</v>
      </c>
      <c r="Y67" s="7">
        <f t="shared" si="11"/>
        <v>-2.672036872092165E-3</v>
      </c>
      <c r="Z67" s="3">
        <v>135.45535100000001</v>
      </c>
      <c r="AA67" s="7">
        <f t="shared" si="12"/>
        <v>-5.8725814217130967E-4</v>
      </c>
      <c r="AB67" s="3">
        <v>10.75</v>
      </c>
      <c r="AC67" s="7">
        <f t="shared" si="13"/>
        <v>-3.5874439461883401E-2</v>
      </c>
      <c r="AD67" s="3">
        <v>70.036051</v>
      </c>
      <c r="AE67" s="7">
        <f t="shared" si="14"/>
        <v>-6.4255508350614221E-2</v>
      </c>
      <c r="AF67" s="3">
        <v>72.930000000000007</v>
      </c>
      <c r="AG67" s="7">
        <f t="shared" si="15"/>
        <v>5.4878584920814433E-4</v>
      </c>
      <c r="AH67" s="3">
        <v>12.147753</v>
      </c>
      <c r="AI67" s="7">
        <f t="shared" si="16"/>
        <v>3.2840298018086411E-3</v>
      </c>
      <c r="AJ67" s="3">
        <v>87.336652000000001</v>
      </c>
      <c r="AK67" s="7">
        <f t="shared" si="17"/>
        <v>2.161085910586058E-3</v>
      </c>
      <c r="AL67" s="3">
        <v>9.3000000000000007</v>
      </c>
      <c r="AM67" s="7">
        <f t="shared" si="18"/>
        <v>1.4176663031624903E-2</v>
      </c>
      <c r="AN67" s="3">
        <v>0.27</v>
      </c>
      <c r="AO67" s="7">
        <f t="shared" si="19"/>
        <v>-3.5714285714285698E-2</v>
      </c>
      <c r="AP67" s="3">
        <v>8.0299999999999994</v>
      </c>
      <c r="AQ67" s="7">
        <f t="shared" si="20"/>
        <v>-3.1363088057901112E-2</v>
      </c>
    </row>
    <row r="68" spans="1:43" x14ac:dyDescent="0.3">
      <c r="A68" s="4">
        <v>42598</v>
      </c>
      <c r="B68" s="3">
        <v>18552.019531000002</v>
      </c>
      <c r="C68" s="7">
        <f t="shared" si="0"/>
        <v>-4.5090695978180495E-3</v>
      </c>
      <c r="D68" s="3">
        <v>108.82128400000001</v>
      </c>
      <c r="E68" s="7">
        <f t="shared" si="1"/>
        <v>-9.134712402902867E-4</v>
      </c>
      <c r="F68" s="3">
        <v>100.599998</v>
      </c>
      <c r="G68" s="7">
        <f t="shared" si="2"/>
        <v>-3.2696126027941252E-3</v>
      </c>
      <c r="H68" s="3">
        <v>57.439999</v>
      </c>
      <c r="I68" s="7">
        <f t="shared" si="3"/>
        <v>-5.5401835180054482E-3</v>
      </c>
      <c r="J68" s="3">
        <v>41.160544000000002</v>
      </c>
      <c r="K68" s="7">
        <f t="shared" si="4"/>
        <v>-1.6912330002948339E-3</v>
      </c>
      <c r="L68" s="3">
        <v>87.739998</v>
      </c>
      <c r="M68" s="7">
        <f t="shared" si="5"/>
        <v>-2.9545681818181624E-3</v>
      </c>
      <c r="N68" s="3">
        <v>15.099724999999999</v>
      </c>
      <c r="O68" s="7">
        <f t="shared" si="6"/>
        <v>9.986608403870223E-3</v>
      </c>
      <c r="P68" s="3">
        <v>46.466327</v>
      </c>
      <c r="Q68" s="7">
        <f t="shared" si="7"/>
        <v>4.9579465280316093E-3</v>
      </c>
      <c r="R68" s="3">
        <v>7.3</v>
      </c>
      <c r="S68" s="7">
        <f t="shared" si="8"/>
        <v>-4.0927694406548421E-3</v>
      </c>
      <c r="T68" s="3">
        <v>65.235775000000004</v>
      </c>
      <c r="U68" s="7">
        <f t="shared" si="9"/>
        <v>-1.5219392602161541E-4</v>
      </c>
      <c r="V68" s="3">
        <v>48.039754000000002</v>
      </c>
      <c r="W68" s="7">
        <f t="shared" si="10"/>
        <v>3.521828173789876E-3</v>
      </c>
      <c r="X68" s="3">
        <v>167.89326700000001</v>
      </c>
      <c r="Y68" s="7">
        <f t="shared" si="11"/>
        <v>-1.8964727526992187E-3</v>
      </c>
      <c r="Z68" s="3">
        <v>135.53494499999999</v>
      </c>
      <c r="AA68" s="7">
        <f t="shared" si="12"/>
        <v>-6.0557545343413732E-3</v>
      </c>
      <c r="AB68" s="3">
        <v>11.15</v>
      </c>
      <c r="AC68" s="7">
        <f t="shared" si="13"/>
        <v>-1.2400354295836968E-2</v>
      </c>
      <c r="AD68" s="3">
        <v>74.845271999999994</v>
      </c>
      <c r="AE68" s="7">
        <f t="shared" si="14"/>
        <v>-6.6192804960274465E-4</v>
      </c>
      <c r="AF68" s="3">
        <v>72.889999000000003</v>
      </c>
      <c r="AG68" s="7">
        <f t="shared" si="15"/>
        <v>-5.8647163120566503E-3</v>
      </c>
      <c r="AH68" s="3">
        <v>12.107989999999999</v>
      </c>
      <c r="AI68" s="7">
        <f t="shared" si="16"/>
        <v>-1.8533424444114877E-2</v>
      </c>
      <c r="AJ68" s="3">
        <v>87.148317000000006</v>
      </c>
      <c r="AK68" s="7">
        <f t="shared" si="17"/>
        <v>1.2527102417965175E-3</v>
      </c>
      <c r="AL68" s="3">
        <v>9.17</v>
      </c>
      <c r="AM68" s="7">
        <f t="shared" si="18"/>
        <v>9.9118942731277748E-3</v>
      </c>
      <c r="AN68" s="3">
        <v>0.28000000000000003</v>
      </c>
      <c r="AO68" s="7">
        <f t="shared" si="19"/>
        <v>0</v>
      </c>
      <c r="AP68" s="3">
        <v>8.2899999999999991</v>
      </c>
      <c r="AQ68" s="7">
        <f t="shared" si="20"/>
        <v>2.4183796856105388E-3</v>
      </c>
    </row>
    <row r="69" spans="1:43" x14ac:dyDescent="0.3">
      <c r="A69" s="4">
        <v>42597</v>
      </c>
      <c r="B69" s="3">
        <v>18636.050781000002</v>
      </c>
      <c r="C69" s="7">
        <f t="shared" si="0"/>
        <v>3.2072872696093935E-3</v>
      </c>
      <c r="D69" s="3">
        <v>108.92077999999999</v>
      </c>
      <c r="E69" s="7">
        <f t="shared" si="1"/>
        <v>1.2017040230557496E-2</v>
      </c>
      <c r="F69" s="3">
        <v>100.93</v>
      </c>
      <c r="G69" s="7">
        <f t="shared" si="2"/>
        <v>-1.0886876376812182E-3</v>
      </c>
      <c r="H69" s="3">
        <v>57.76</v>
      </c>
      <c r="I69" s="7">
        <f t="shared" si="3"/>
        <v>3.1066609252008437E-3</v>
      </c>
      <c r="J69" s="3">
        <v>41.230274000000001</v>
      </c>
      <c r="K69" s="7">
        <f t="shared" si="4"/>
        <v>7.3010394554482438E-3</v>
      </c>
      <c r="L69" s="3">
        <v>88</v>
      </c>
      <c r="M69" s="7">
        <f t="shared" si="5"/>
        <v>5.3695990559761153E-3</v>
      </c>
      <c r="N69" s="3">
        <v>14.950421</v>
      </c>
      <c r="O69" s="7">
        <f t="shared" si="6"/>
        <v>7.3776373852583177E-3</v>
      </c>
      <c r="P69" s="3">
        <v>46.237085999999998</v>
      </c>
      <c r="Q69" s="7">
        <f t="shared" si="7"/>
        <v>1.7770906902035311E-2</v>
      </c>
      <c r="R69" s="3">
        <v>7.33</v>
      </c>
      <c r="S69" s="7">
        <f t="shared" si="8"/>
        <v>1.9471488178024909E-2</v>
      </c>
      <c r="T69" s="3">
        <v>65.245705000000001</v>
      </c>
      <c r="U69" s="7">
        <f t="shared" si="9"/>
        <v>6.1237260517152947E-3</v>
      </c>
      <c r="V69" s="3">
        <v>47.871160000000003</v>
      </c>
      <c r="W69" s="7">
        <f t="shared" si="10"/>
        <v>7.7244088093397778E-3</v>
      </c>
      <c r="X69" s="3">
        <v>168.212277</v>
      </c>
      <c r="Y69" s="7">
        <f t="shared" si="11"/>
        <v>-1.8338688214546428E-3</v>
      </c>
      <c r="Z69" s="3">
        <v>136.36071200000001</v>
      </c>
      <c r="AA69" s="7">
        <f t="shared" si="12"/>
        <v>3.587829837434775E-3</v>
      </c>
      <c r="AB69" s="3">
        <v>11.29</v>
      </c>
      <c r="AC69" s="7">
        <f t="shared" si="13"/>
        <v>7.0142180094786566E-2</v>
      </c>
      <c r="AD69" s="3">
        <v>74.894846999999999</v>
      </c>
      <c r="AE69" s="7">
        <f t="shared" si="14"/>
        <v>4.2547664184724443E-3</v>
      </c>
      <c r="AF69" s="3">
        <v>73.319999999999993</v>
      </c>
      <c r="AG69" s="7">
        <f t="shared" si="15"/>
        <v>-7.7141562825032706E-3</v>
      </c>
      <c r="AH69" s="3">
        <v>12.33663</v>
      </c>
      <c r="AI69" s="7">
        <f t="shared" si="16"/>
        <v>5.6170215534703472E-2</v>
      </c>
      <c r="AJ69" s="3">
        <v>87.039282</v>
      </c>
      <c r="AK69" s="7">
        <f t="shared" si="17"/>
        <v>-4.5533401810660123E-4</v>
      </c>
      <c r="AL69" s="3">
        <v>9.08</v>
      </c>
      <c r="AM69" s="7">
        <f t="shared" si="18"/>
        <v>4.0091638029782217E-2</v>
      </c>
      <c r="AN69" s="3">
        <v>0.28000000000000003</v>
      </c>
      <c r="AO69" s="7">
        <f t="shared" si="19"/>
        <v>3.7037037037036979E-2</v>
      </c>
      <c r="AP69" s="3">
        <v>8.27</v>
      </c>
      <c r="AQ69" s="7">
        <f t="shared" si="20"/>
        <v>7.9634464751958234E-2</v>
      </c>
    </row>
    <row r="70" spans="1:43" x14ac:dyDescent="0.3">
      <c r="A70" s="4">
        <v>42594</v>
      </c>
      <c r="B70" s="3">
        <v>18576.470702999999</v>
      </c>
      <c r="C70" s="7">
        <f t="shared" ref="C70:C133" si="21">B70/B71-1</f>
        <v>-1.9904257192359109E-3</v>
      </c>
      <c r="D70" s="3">
        <v>107.62741699999999</v>
      </c>
      <c r="E70" s="7">
        <f t="shared" ref="E70:E133" si="22">D70/D71-1</f>
        <v>2.3163161213339833E-3</v>
      </c>
      <c r="F70" s="3">
        <v>101.040001</v>
      </c>
      <c r="G70" s="7">
        <f t="shared" ref="G70:G133" si="23">F70/F71-1</f>
        <v>-6.196488761610941E-3</v>
      </c>
      <c r="H70" s="3">
        <v>57.581114999999997</v>
      </c>
      <c r="I70" s="7">
        <f t="shared" ref="I70:I133" si="24">H70/H71-1</f>
        <v>-6.1749720213812864E-3</v>
      </c>
      <c r="J70" s="3">
        <v>40.931432000000001</v>
      </c>
      <c r="K70" s="7">
        <f t="shared" ref="K70:K133" si="25">J70/J71-1</f>
        <v>-4.6026700374266483E-3</v>
      </c>
      <c r="L70" s="3">
        <v>87.529999000000004</v>
      </c>
      <c r="M70" s="7">
        <f t="shared" ref="M70:M133" si="26">L70/L71-1</f>
        <v>-2.1660054472638635E-3</v>
      </c>
      <c r="N70" s="3">
        <v>14.84093</v>
      </c>
      <c r="O70" s="7">
        <f t="shared" ref="O70:O133" si="27">N70/N71-1</f>
        <v>2.0161272626575411E-3</v>
      </c>
      <c r="P70" s="3">
        <v>45.429758</v>
      </c>
      <c r="Q70" s="7">
        <f t="shared" ref="Q70:Q133" si="28">P70/P71-1</f>
        <v>-3.2800882120469499E-3</v>
      </c>
      <c r="R70" s="3">
        <v>7.19</v>
      </c>
      <c r="S70" s="7">
        <f t="shared" ref="S70:S133" si="29">R70/R71-1</f>
        <v>-5.5325034578146415E-3</v>
      </c>
      <c r="T70" s="3">
        <v>64.848590000000002</v>
      </c>
      <c r="U70" s="7">
        <f t="shared" ref="U70:U133" si="30">T70/T71-1</f>
        <v>-2.1387009970011972E-3</v>
      </c>
      <c r="V70" s="3">
        <v>47.504218000000002</v>
      </c>
      <c r="W70" s="7">
        <f t="shared" ref="W70:W133" si="31">V70/V71-1</f>
        <v>-7.0480992731630776E-3</v>
      </c>
      <c r="X70" s="3">
        <v>168.521323</v>
      </c>
      <c r="Y70" s="7">
        <f t="shared" ref="Y70:Y133" si="32">X70/X71-1</f>
        <v>6.9096270571533669E-3</v>
      </c>
      <c r="Z70" s="3">
        <v>135.873222</v>
      </c>
      <c r="AA70" s="7">
        <f t="shared" ref="AA70:AA133" si="33">Z70/Z71-1</f>
        <v>-3.4295527509334844E-3</v>
      </c>
      <c r="AB70" s="3">
        <v>10.55</v>
      </c>
      <c r="AC70" s="7">
        <f t="shared" ref="AC70:AC133" si="34">AB70/AB71-1</f>
        <v>6.1368209255533435E-2</v>
      </c>
      <c r="AD70" s="3">
        <v>74.577537000000007</v>
      </c>
      <c r="AE70" s="7">
        <f t="shared" ref="AE70:AE133" si="35">AD70/AD71-1</f>
        <v>2.4320968349043959E-2</v>
      </c>
      <c r="AF70" s="3">
        <v>73.889999000000003</v>
      </c>
      <c r="AG70" s="7">
        <f t="shared" ref="AG70:AG133" si="36">AF70/AF71-1</f>
        <v>1.2194579450084397E-3</v>
      </c>
      <c r="AH70" s="3">
        <v>11.680531999999999</v>
      </c>
      <c r="AI70" s="7">
        <f t="shared" ref="AI70:AI133" si="37">AH70/AH71-1</f>
        <v>4.2735568158651649E-3</v>
      </c>
      <c r="AJ70" s="3">
        <v>87.078931999999995</v>
      </c>
      <c r="AK70" s="7">
        <f t="shared" ref="AK70:AK133" si="38">AJ70/AJ71-1</f>
        <v>1.3030408863180076E-2</v>
      </c>
      <c r="AL70" s="3">
        <v>8.73</v>
      </c>
      <c r="AM70" s="7">
        <f t="shared" ref="AM70:AM133" si="39">AL70/AL71-1</f>
        <v>6.9204152249136008E-3</v>
      </c>
      <c r="AN70" s="3">
        <v>0.27</v>
      </c>
      <c r="AO70" s="7">
        <f t="shared" ref="AO70:AO133" si="40">AN70/AN71-1</f>
        <v>3.8461538461538547E-2</v>
      </c>
      <c r="AP70" s="3">
        <v>7.66</v>
      </c>
      <c r="AQ70" s="7">
        <f t="shared" ref="AQ70:AQ133" si="41">AP70/AP71-1</f>
        <v>-7.7720207253885176E-3</v>
      </c>
    </row>
    <row r="71" spans="1:43" x14ac:dyDescent="0.3">
      <c r="A71" s="4">
        <v>42593</v>
      </c>
      <c r="B71" s="3">
        <v>18613.519531000002</v>
      </c>
      <c r="C71" s="7">
        <f t="shared" si="21"/>
        <v>6.3722718738301598E-3</v>
      </c>
      <c r="D71" s="3">
        <v>107.378694</v>
      </c>
      <c r="E71" s="7">
        <f t="shared" si="22"/>
        <v>-6.4814405315682944E-4</v>
      </c>
      <c r="F71" s="3">
        <v>101.66999800000001</v>
      </c>
      <c r="G71" s="7">
        <f t="shared" si="23"/>
        <v>1.043525112993704E-2</v>
      </c>
      <c r="H71" s="3">
        <v>57.938885999999997</v>
      </c>
      <c r="I71" s="7">
        <f t="shared" si="24"/>
        <v>4.8259105638144284E-3</v>
      </c>
      <c r="J71" s="3">
        <v>41.120697</v>
      </c>
      <c r="K71" s="7">
        <f t="shared" si="25"/>
        <v>4.6239525653537505E-3</v>
      </c>
      <c r="L71" s="3">
        <v>87.720000999999996</v>
      </c>
      <c r="M71" s="7">
        <f t="shared" si="26"/>
        <v>5.7035475237476874E-4</v>
      </c>
      <c r="N71" s="3">
        <v>14.811069</v>
      </c>
      <c r="O71" s="7">
        <f t="shared" si="27"/>
        <v>4.7265546749890586E-3</v>
      </c>
      <c r="P71" s="3">
        <v>45.579262</v>
      </c>
      <c r="Q71" s="7">
        <f t="shared" si="28"/>
        <v>6.1605928063961368E-3</v>
      </c>
      <c r="R71" s="3">
        <v>7.23</v>
      </c>
      <c r="S71" s="7">
        <f t="shared" si="29"/>
        <v>8.3682008368202165E-3</v>
      </c>
      <c r="T71" s="3">
        <v>64.987578999999997</v>
      </c>
      <c r="U71" s="7">
        <f t="shared" si="30"/>
        <v>2.7573537070026966E-3</v>
      </c>
      <c r="V71" s="3">
        <v>47.841408999999999</v>
      </c>
      <c r="W71" s="7">
        <f t="shared" si="31"/>
        <v>1.2453459368215736E-3</v>
      </c>
      <c r="X71" s="3">
        <v>167.36489399999999</v>
      </c>
      <c r="Y71" s="7">
        <f t="shared" si="32"/>
        <v>-2.436199387336524E-3</v>
      </c>
      <c r="Z71" s="3">
        <v>136.34081</v>
      </c>
      <c r="AA71" s="7">
        <f t="shared" si="33"/>
        <v>1.0619371680751444E-2</v>
      </c>
      <c r="AB71" s="3">
        <v>9.94</v>
      </c>
      <c r="AC71" s="7">
        <f t="shared" si="34"/>
        <v>8.6338797814207613E-2</v>
      </c>
      <c r="AD71" s="3">
        <v>72.806804999999997</v>
      </c>
      <c r="AE71" s="7">
        <f t="shared" si="35"/>
        <v>1.3141668371196902E-2</v>
      </c>
      <c r="AF71" s="3">
        <v>73.800003000000004</v>
      </c>
      <c r="AG71" s="7">
        <f t="shared" si="36"/>
        <v>-2.0283165123048397E-3</v>
      </c>
      <c r="AH71" s="3">
        <v>11.630827</v>
      </c>
      <c r="AI71" s="7">
        <f t="shared" si="37"/>
        <v>2.3621984182248479E-2</v>
      </c>
      <c r="AJ71" s="3">
        <v>85.958853000000005</v>
      </c>
      <c r="AK71" s="7">
        <f t="shared" si="38"/>
        <v>3.5875230130033575E-3</v>
      </c>
      <c r="AL71" s="3">
        <v>8.67</v>
      </c>
      <c r="AM71" s="7">
        <f t="shared" si="39"/>
        <v>2.8469750889679846E-2</v>
      </c>
      <c r="AN71" s="3">
        <v>0.26</v>
      </c>
      <c r="AO71" s="7">
        <f t="shared" si="40"/>
        <v>0</v>
      </c>
      <c r="AP71" s="3">
        <v>7.72</v>
      </c>
      <c r="AQ71" s="7">
        <f t="shared" si="41"/>
        <v>5.7534246575342562E-2</v>
      </c>
    </row>
    <row r="72" spans="1:43" x14ac:dyDescent="0.3">
      <c r="A72" s="4">
        <v>42592</v>
      </c>
      <c r="B72" s="3">
        <v>18495.660156000002</v>
      </c>
      <c r="C72" s="7">
        <f t="shared" si="21"/>
        <v>-2.0175105244050195E-3</v>
      </c>
      <c r="D72" s="3">
        <v>107.448336</v>
      </c>
      <c r="E72" s="7">
        <f t="shared" si="22"/>
        <v>-7.444145629237231E-3</v>
      </c>
      <c r="F72" s="3">
        <v>100.620003</v>
      </c>
      <c r="G72" s="7">
        <f t="shared" si="23"/>
        <v>1.7700009577222398E-2</v>
      </c>
      <c r="H72" s="3">
        <v>57.660620999999999</v>
      </c>
      <c r="I72" s="7">
        <f t="shared" si="24"/>
        <v>-3.0927995288756449E-3</v>
      </c>
      <c r="J72" s="3">
        <v>40.931432000000001</v>
      </c>
      <c r="K72" s="7">
        <f t="shared" si="25"/>
        <v>-2.4327458138206914E-4</v>
      </c>
      <c r="L72" s="3">
        <v>87.669998000000007</v>
      </c>
      <c r="M72" s="7">
        <f t="shared" si="26"/>
        <v>4.4683662290143644E-3</v>
      </c>
      <c r="N72" s="3">
        <v>14.741393</v>
      </c>
      <c r="O72" s="7">
        <f t="shared" si="27"/>
        <v>-2.5016415743451925E-2</v>
      </c>
      <c r="P72" s="3">
        <v>45.300185999999997</v>
      </c>
      <c r="Q72" s="7">
        <f t="shared" si="28"/>
        <v>-9.8039282119102289E-3</v>
      </c>
      <c r="R72" s="3">
        <v>7.17</v>
      </c>
      <c r="S72" s="7">
        <f t="shared" si="29"/>
        <v>-1.5109890109890167E-2</v>
      </c>
      <c r="T72" s="3">
        <v>64.808878000000007</v>
      </c>
      <c r="U72" s="7">
        <f t="shared" si="30"/>
        <v>-8.9570971460893878E-3</v>
      </c>
      <c r="V72" s="3">
        <v>47.781903999999997</v>
      </c>
      <c r="W72" s="7">
        <f t="shared" si="31"/>
        <v>-1.5328019847294594E-2</v>
      </c>
      <c r="X72" s="3">
        <v>167.77362400000001</v>
      </c>
      <c r="Y72" s="7">
        <f t="shared" si="32"/>
        <v>5.2564844802824862E-3</v>
      </c>
      <c r="Z72" s="3">
        <v>134.90817000000001</v>
      </c>
      <c r="AA72" s="7">
        <f t="shared" si="33"/>
        <v>-3.7469253349181608E-3</v>
      </c>
      <c r="AB72" s="3">
        <v>9.15</v>
      </c>
      <c r="AC72" s="7">
        <f t="shared" si="34"/>
        <v>-2.0342612419700146E-2</v>
      </c>
      <c r="AD72" s="3">
        <v>71.862413000000004</v>
      </c>
      <c r="AE72" s="7">
        <f t="shared" si="35"/>
        <v>6.0598158776359323E-3</v>
      </c>
      <c r="AF72" s="3">
        <v>73.949996999999996</v>
      </c>
      <c r="AG72" s="7">
        <f t="shared" si="36"/>
        <v>1.2458899403873236E-2</v>
      </c>
      <c r="AH72" s="3">
        <v>11.362424000000001</v>
      </c>
      <c r="AI72" s="7">
        <f t="shared" si="37"/>
        <v>-2.8887012032223769E-2</v>
      </c>
      <c r="AJ72" s="3">
        <v>85.651576000000006</v>
      </c>
      <c r="AK72" s="7">
        <f t="shared" si="38"/>
        <v>-1.7509877170576393E-2</v>
      </c>
      <c r="AL72" s="3">
        <v>8.43</v>
      </c>
      <c r="AM72" s="7">
        <f t="shared" si="39"/>
        <v>-3.1034482758620641E-2</v>
      </c>
      <c r="AN72" s="3">
        <v>0.26</v>
      </c>
      <c r="AO72" s="7">
        <f t="shared" si="40"/>
        <v>0</v>
      </c>
      <c r="AP72" s="3">
        <v>7.3</v>
      </c>
      <c r="AQ72" s="7">
        <f t="shared" si="41"/>
        <v>-4.3250327653997389E-2</v>
      </c>
    </row>
    <row r="73" spans="1:43" x14ac:dyDescent="0.3">
      <c r="A73" s="4">
        <v>42591</v>
      </c>
      <c r="B73" s="3">
        <v>18533.050781000002</v>
      </c>
      <c r="C73" s="7">
        <f t="shared" si="21"/>
        <v>2.0301475072326269E-4</v>
      </c>
      <c r="D73" s="3">
        <v>108.25419599999999</v>
      </c>
      <c r="E73" s="7">
        <f t="shared" si="22"/>
        <v>4.0601133135074186E-3</v>
      </c>
      <c r="F73" s="3">
        <v>98.870002999999997</v>
      </c>
      <c r="G73" s="7">
        <f t="shared" si="23"/>
        <v>3.8583105667238105E-3</v>
      </c>
      <c r="H73" s="3">
        <v>57.839506999999998</v>
      </c>
      <c r="I73" s="7">
        <f t="shared" si="24"/>
        <v>2.4112841554322362E-3</v>
      </c>
      <c r="J73" s="3">
        <v>40.941392</v>
      </c>
      <c r="K73" s="7">
        <f t="shared" si="25"/>
        <v>-1.4577635628960639E-3</v>
      </c>
      <c r="L73" s="3">
        <v>87.279999000000004</v>
      </c>
      <c r="M73" s="7">
        <f t="shared" si="26"/>
        <v>1.642012286875083E-2</v>
      </c>
      <c r="N73" s="3">
        <v>15.119631999999999</v>
      </c>
      <c r="O73" s="7">
        <f t="shared" si="27"/>
        <v>3.9655612838613852E-3</v>
      </c>
      <c r="P73" s="3">
        <v>45.748702999999999</v>
      </c>
      <c r="Q73" s="7">
        <f t="shared" si="28"/>
        <v>-1.3054344954255281E-3</v>
      </c>
      <c r="R73" s="3">
        <v>7.28</v>
      </c>
      <c r="S73" s="7">
        <f t="shared" si="29"/>
        <v>1.3755158184320937E-3</v>
      </c>
      <c r="T73" s="3">
        <v>65.394623999999993</v>
      </c>
      <c r="U73" s="7">
        <f t="shared" si="30"/>
        <v>-3.4794986919136628E-3</v>
      </c>
      <c r="V73" s="3">
        <v>48.525706999999997</v>
      </c>
      <c r="W73" s="7">
        <f t="shared" si="31"/>
        <v>4.0894018787951403E-4</v>
      </c>
      <c r="X73" s="3">
        <v>166.89633599999999</v>
      </c>
      <c r="Y73" s="7">
        <f t="shared" si="32"/>
        <v>2.7479501945968376E-3</v>
      </c>
      <c r="Z73" s="3">
        <v>135.41556199999999</v>
      </c>
      <c r="AA73" s="7">
        <f t="shared" si="33"/>
        <v>-7.3420623116304817E-4</v>
      </c>
      <c r="AB73" s="3">
        <v>9.34</v>
      </c>
      <c r="AC73" s="7">
        <f t="shared" si="34"/>
        <v>-1.684210526315788E-2</v>
      </c>
      <c r="AD73" s="3">
        <v>71.429563000000002</v>
      </c>
      <c r="AE73" s="7">
        <f t="shared" si="35"/>
        <v>-3.1866663572813647E-2</v>
      </c>
      <c r="AF73" s="3">
        <v>73.039998999999995</v>
      </c>
      <c r="AG73" s="7">
        <f t="shared" si="36"/>
        <v>2.727077221449381E-3</v>
      </c>
      <c r="AH73" s="3">
        <v>11.700414</v>
      </c>
      <c r="AI73" s="7">
        <f t="shared" si="37"/>
        <v>-2.161256626458874E-2</v>
      </c>
      <c r="AJ73" s="3">
        <v>87.178053000000006</v>
      </c>
      <c r="AK73" s="7">
        <f t="shared" si="38"/>
        <v>1.2416799644057175E-3</v>
      </c>
      <c r="AL73" s="3">
        <v>8.6999999999999993</v>
      </c>
      <c r="AM73" s="7">
        <f t="shared" si="39"/>
        <v>5.7803468208090791E-3</v>
      </c>
      <c r="AN73" s="3">
        <v>0.26</v>
      </c>
      <c r="AO73" s="7">
        <f t="shared" si="40"/>
        <v>-0.16129032258064513</v>
      </c>
      <c r="AP73" s="3">
        <v>7.63</v>
      </c>
      <c r="AQ73" s="7">
        <f t="shared" si="41"/>
        <v>-3.7831021437578771E-2</v>
      </c>
    </row>
    <row r="74" spans="1:43" x14ac:dyDescent="0.3">
      <c r="A74" s="4">
        <v>42590</v>
      </c>
      <c r="B74" s="3">
        <v>18529.289062</v>
      </c>
      <c r="C74" s="7">
        <f t="shared" si="21"/>
        <v>-7.6793553006682114E-4</v>
      </c>
      <c r="D74" s="3">
        <v>107.81644900000001</v>
      </c>
      <c r="E74" s="7">
        <f t="shared" si="22"/>
        <v>8.2806018191396991E-3</v>
      </c>
      <c r="F74" s="3">
        <v>98.489998</v>
      </c>
      <c r="G74" s="7">
        <f t="shared" si="23"/>
        <v>-5.5533420279347823E-3</v>
      </c>
      <c r="H74" s="3">
        <v>57.700375000000001</v>
      </c>
      <c r="I74" s="7">
        <f t="shared" si="24"/>
        <v>1.7253695908570066E-3</v>
      </c>
      <c r="J74" s="3">
        <v>41.001162000000001</v>
      </c>
      <c r="K74" s="7">
        <f t="shared" si="25"/>
        <v>7.2936458732475451E-4</v>
      </c>
      <c r="L74" s="3">
        <v>85.870002999999997</v>
      </c>
      <c r="M74" s="7">
        <f t="shared" si="26"/>
        <v>-3.9438116685280855E-3</v>
      </c>
      <c r="N74" s="3">
        <v>15.059911</v>
      </c>
      <c r="O74" s="7">
        <f t="shared" si="27"/>
        <v>5.3156546262382864E-3</v>
      </c>
      <c r="P74" s="3">
        <v>45.808503000000002</v>
      </c>
      <c r="Q74" s="7">
        <f t="shared" si="28"/>
        <v>5.2493020739228236E-3</v>
      </c>
      <c r="R74" s="3">
        <v>7.27</v>
      </c>
      <c r="S74" s="7">
        <f t="shared" si="29"/>
        <v>-6.830601092896238E-3</v>
      </c>
      <c r="T74" s="3">
        <v>65.622958999999994</v>
      </c>
      <c r="U74" s="7">
        <f t="shared" si="30"/>
        <v>-3.0166729207004028E-3</v>
      </c>
      <c r="V74" s="3">
        <v>48.505870999999999</v>
      </c>
      <c r="W74" s="7">
        <f t="shared" si="31"/>
        <v>4.7247209336835905E-3</v>
      </c>
      <c r="X74" s="3">
        <v>166.43897000000001</v>
      </c>
      <c r="Y74" s="7">
        <f t="shared" si="32"/>
        <v>-1.7889283780981868E-3</v>
      </c>
      <c r="Z74" s="3">
        <v>135.51505800000001</v>
      </c>
      <c r="AA74" s="7">
        <f t="shared" si="33"/>
        <v>-5.1128288125837917E-3</v>
      </c>
      <c r="AB74" s="3">
        <v>9.5</v>
      </c>
      <c r="AC74" s="7">
        <f t="shared" si="34"/>
        <v>1.1714589989350266E-2</v>
      </c>
      <c r="AD74" s="3">
        <v>73.780708000000004</v>
      </c>
      <c r="AE74" s="7">
        <f t="shared" si="35"/>
        <v>8.0060567252893122E-4</v>
      </c>
      <c r="AF74" s="3">
        <v>72.841354999999993</v>
      </c>
      <c r="AG74" s="7">
        <f t="shared" si="36"/>
        <v>-5.694219394731137E-3</v>
      </c>
      <c r="AH74" s="3">
        <v>11.958876</v>
      </c>
      <c r="AI74" s="7">
        <f t="shared" si="37"/>
        <v>0.15895944346111013</v>
      </c>
      <c r="AJ74" s="3">
        <v>87.069940000000003</v>
      </c>
      <c r="AK74" s="7">
        <f t="shared" si="38"/>
        <v>1.1763351933043342E-2</v>
      </c>
      <c r="AL74" s="3">
        <v>8.65</v>
      </c>
      <c r="AM74" s="7">
        <f t="shared" si="39"/>
        <v>3.4688995215311103E-2</v>
      </c>
      <c r="AN74" s="3">
        <v>0.31</v>
      </c>
      <c r="AO74" s="7">
        <f t="shared" si="40"/>
        <v>0.34782608695652173</v>
      </c>
      <c r="AP74" s="3">
        <v>7.93</v>
      </c>
      <c r="AQ74" s="7">
        <f t="shared" si="41"/>
        <v>3.7958115183245988E-2</v>
      </c>
    </row>
    <row r="75" spans="1:43" x14ac:dyDescent="0.3">
      <c r="A75" s="4">
        <v>42587</v>
      </c>
      <c r="B75" s="3">
        <v>18543.529297000001</v>
      </c>
      <c r="C75" s="7">
        <f t="shared" si="21"/>
        <v>1.0433630458250409E-2</v>
      </c>
      <c r="D75" s="3">
        <v>106.93099599999999</v>
      </c>
      <c r="E75" s="7">
        <f t="shared" si="22"/>
        <v>1.5207337671420573E-2</v>
      </c>
      <c r="F75" s="3">
        <v>99.040001000000004</v>
      </c>
      <c r="G75" s="7">
        <f t="shared" si="23"/>
        <v>2.0084510045710546E-2</v>
      </c>
      <c r="H75" s="3">
        <v>57.600991999999998</v>
      </c>
      <c r="I75" s="7">
        <f t="shared" si="24"/>
        <v>9.9320371277584751E-3</v>
      </c>
      <c r="J75" s="3">
        <v>40.971279000000003</v>
      </c>
      <c r="K75" s="7">
        <f t="shared" si="25"/>
        <v>5.6234613146619594E-3</v>
      </c>
      <c r="L75" s="3">
        <v>86.209998999999996</v>
      </c>
      <c r="M75" s="7">
        <f t="shared" si="26"/>
        <v>2.7916482169170198E-3</v>
      </c>
      <c r="N75" s="3">
        <v>14.980281</v>
      </c>
      <c r="O75" s="7">
        <f t="shared" si="27"/>
        <v>3.9364678402108666E-2</v>
      </c>
      <c r="P75" s="3">
        <v>45.569296000000001</v>
      </c>
      <c r="Q75" s="7">
        <f t="shared" si="28"/>
        <v>4.2883233812769594E-2</v>
      </c>
      <c r="R75" s="3">
        <v>7.32</v>
      </c>
      <c r="S75" s="7">
        <f t="shared" si="29"/>
        <v>6.8775790921595803E-3</v>
      </c>
      <c r="T75" s="3">
        <v>65.821521000000004</v>
      </c>
      <c r="U75" s="7">
        <f t="shared" si="30"/>
        <v>2.6951758862321151E-2</v>
      </c>
      <c r="V75" s="3">
        <v>48.277771999999999</v>
      </c>
      <c r="W75" s="7">
        <f t="shared" si="31"/>
        <v>1.7558521220267354E-2</v>
      </c>
      <c r="X75" s="3">
        <v>166.73725099999999</v>
      </c>
      <c r="Y75" s="7">
        <f t="shared" si="32"/>
        <v>6.9047971156948051E-3</v>
      </c>
      <c r="Z75" s="3">
        <v>136.21148400000001</v>
      </c>
      <c r="AA75" s="7">
        <f t="shared" si="33"/>
        <v>6.3212108472192607E-3</v>
      </c>
      <c r="AB75" s="3">
        <v>9.39</v>
      </c>
      <c r="AC75" s="7">
        <f t="shared" si="34"/>
        <v>2.0652173913043637E-2</v>
      </c>
      <c r="AD75" s="3">
        <v>73.721686000000005</v>
      </c>
      <c r="AE75" s="7">
        <f t="shared" si="35"/>
        <v>1.0790434713446206E-2</v>
      </c>
      <c r="AF75" s="3">
        <v>73.258505</v>
      </c>
      <c r="AG75" s="7">
        <f t="shared" si="36"/>
        <v>6.275573516324906E-3</v>
      </c>
      <c r="AH75" s="3">
        <v>10.318631999999999</v>
      </c>
      <c r="AI75" s="7">
        <f t="shared" si="37"/>
        <v>6.6803798076893184E-2</v>
      </c>
      <c r="AJ75" s="3">
        <v>86.057614000000001</v>
      </c>
      <c r="AK75" s="7">
        <f t="shared" si="38"/>
        <v>9.1442103770633665E-4</v>
      </c>
      <c r="AL75" s="3">
        <v>8.36</v>
      </c>
      <c r="AM75" s="7">
        <f t="shared" si="39"/>
        <v>-5.9453032104638259E-3</v>
      </c>
      <c r="AN75" s="3">
        <v>0.23</v>
      </c>
      <c r="AO75" s="7">
        <f t="shared" si="40"/>
        <v>4.5454545454545414E-2</v>
      </c>
      <c r="AP75" s="3">
        <v>7.64</v>
      </c>
      <c r="AQ75" s="7">
        <f t="shared" si="41"/>
        <v>2.2757697456492698E-2</v>
      </c>
    </row>
    <row r="76" spans="1:43" x14ac:dyDescent="0.3">
      <c r="A76" s="4">
        <v>42586</v>
      </c>
      <c r="B76" s="3">
        <v>18352.050781000002</v>
      </c>
      <c r="C76" s="7">
        <f t="shared" si="21"/>
        <v>-1.6067660038132647E-4</v>
      </c>
      <c r="D76" s="3">
        <v>105.32921899999999</v>
      </c>
      <c r="E76" s="7">
        <f t="shared" si="22"/>
        <v>6.1775249244047092E-3</v>
      </c>
      <c r="F76" s="3">
        <v>97.089995999999999</v>
      </c>
      <c r="G76" s="7">
        <f t="shared" si="23"/>
        <v>4.344657170676669E-3</v>
      </c>
      <c r="H76" s="3">
        <v>57.034523</v>
      </c>
      <c r="I76" s="7">
        <f t="shared" si="24"/>
        <v>7.3722746011515294E-3</v>
      </c>
      <c r="J76" s="3">
        <v>40.742167000000002</v>
      </c>
      <c r="K76" s="7">
        <f t="shared" si="25"/>
        <v>4.6672374602485522E-3</v>
      </c>
      <c r="L76" s="3">
        <v>85.970000999999996</v>
      </c>
      <c r="M76" s="7">
        <f t="shared" si="26"/>
        <v>-2.0893905492886944E-3</v>
      </c>
      <c r="N76" s="3">
        <v>14.412921000000001</v>
      </c>
      <c r="O76" s="7">
        <f t="shared" si="27"/>
        <v>0</v>
      </c>
      <c r="P76" s="3">
        <v>43.695492000000002</v>
      </c>
      <c r="Q76" s="7">
        <f t="shared" si="28"/>
        <v>-1.1392073946550063E-3</v>
      </c>
      <c r="R76" s="3">
        <v>7.27</v>
      </c>
      <c r="S76" s="7">
        <f t="shared" si="29"/>
        <v>-4.109589041095929E-3</v>
      </c>
      <c r="T76" s="3">
        <v>64.094072999999995</v>
      </c>
      <c r="U76" s="7">
        <f t="shared" si="30"/>
        <v>-1.546639787042281E-3</v>
      </c>
      <c r="V76" s="3">
        <v>47.444713</v>
      </c>
      <c r="W76" s="7">
        <f t="shared" si="31"/>
        <v>5.6758658567597209E-3</v>
      </c>
      <c r="X76" s="3">
        <v>165.59385900000001</v>
      </c>
      <c r="Y76" s="7">
        <f t="shared" si="32"/>
        <v>2.5885362100457332E-3</v>
      </c>
      <c r="Z76" s="3">
        <v>135.35587100000001</v>
      </c>
      <c r="AA76" s="7">
        <f t="shared" si="33"/>
        <v>-7.3689920304904621E-3</v>
      </c>
      <c r="AB76" s="3">
        <v>9.1999999999999993</v>
      </c>
      <c r="AC76" s="7">
        <f t="shared" si="34"/>
        <v>7.6670317634170981E-3</v>
      </c>
      <c r="AD76" s="3">
        <v>72.934689000000006</v>
      </c>
      <c r="AE76" s="7">
        <f t="shared" si="35"/>
        <v>5.3982876106584143E-4</v>
      </c>
      <c r="AF76" s="3">
        <v>72.801632999999995</v>
      </c>
      <c r="AG76" s="7">
        <f t="shared" si="36"/>
        <v>4.9355723752719793E-3</v>
      </c>
      <c r="AH76" s="3">
        <v>9.6724739999999994</v>
      </c>
      <c r="AI76" s="7">
        <f t="shared" si="37"/>
        <v>-4.7012814349912335E-2</v>
      </c>
      <c r="AJ76" s="3">
        <v>85.978993000000003</v>
      </c>
      <c r="AK76" s="7">
        <f t="shared" si="38"/>
        <v>-1.1423578619806918E-4</v>
      </c>
      <c r="AL76" s="3">
        <v>8.41</v>
      </c>
      <c r="AM76" s="7">
        <f t="shared" si="39"/>
        <v>1.4475271411338975E-2</v>
      </c>
      <c r="AN76" s="3">
        <v>0.22</v>
      </c>
      <c r="AO76" s="7">
        <f t="shared" si="40"/>
        <v>4.7619047619047672E-2</v>
      </c>
      <c r="AP76" s="3">
        <v>7.47</v>
      </c>
      <c r="AQ76" s="7">
        <f t="shared" si="41"/>
        <v>2.4691358024691246E-2</v>
      </c>
    </row>
    <row r="77" spans="1:43" x14ac:dyDescent="0.3">
      <c r="A77" s="4">
        <v>42585</v>
      </c>
      <c r="B77" s="3">
        <v>18355</v>
      </c>
      <c r="C77" s="7">
        <f t="shared" si="21"/>
        <v>2.2513371116856806E-3</v>
      </c>
      <c r="D77" s="3">
        <v>104.68254</v>
      </c>
      <c r="E77" s="7">
        <f t="shared" si="22"/>
        <v>1.2538262339241601E-2</v>
      </c>
      <c r="F77" s="3">
        <v>96.669998000000007</v>
      </c>
      <c r="G77" s="7">
        <f t="shared" si="23"/>
        <v>6.4549191112466264E-3</v>
      </c>
      <c r="H77" s="3">
        <v>56.617125999999999</v>
      </c>
      <c r="I77" s="7">
        <f t="shared" si="24"/>
        <v>6.8928891506887524E-3</v>
      </c>
      <c r="J77" s="3">
        <v>40.552897000000002</v>
      </c>
      <c r="K77" s="7">
        <f t="shared" si="25"/>
        <v>0</v>
      </c>
      <c r="L77" s="3">
        <v>86.150002000000001</v>
      </c>
      <c r="M77" s="7">
        <f t="shared" si="26"/>
        <v>-4.3915058868775336E-3</v>
      </c>
      <c r="N77" s="3">
        <v>14.412921000000001</v>
      </c>
      <c r="O77" s="7">
        <f t="shared" si="27"/>
        <v>2.4769948088608329E-2</v>
      </c>
      <c r="P77" s="3">
        <v>43.745327000000003</v>
      </c>
      <c r="Q77" s="7">
        <f t="shared" si="28"/>
        <v>2.0935044884865528E-2</v>
      </c>
      <c r="R77" s="3">
        <v>7.3</v>
      </c>
      <c r="S77" s="7">
        <f t="shared" si="29"/>
        <v>1.2482662968099856E-2</v>
      </c>
      <c r="T77" s="3">
        <v>64.193357000000006</v>
      </c>
      <c r="U77" s="7">
        <f t="shared" si="30"/>
        <v>1.5868061100944075E-2</v>
      </c>
      <c r="V77" s="3">
        <v>47.176943000000001</v>
      </c>
      <c r="W77" s="7">
        <f t="shared" si="31"/>
        <v>5.2831071747259095E-3</v>
      </c>
      <c r="X77" s="3">
        <v>165.16632000000001</v>
      </c>
      <c r="Y77" s="7">
        <f t="shared" si="32"/>
        <v>-2.2823096797811582E-3</v>
      </c>
      <c r="Z77" s="3">
        <v>136.36071200000001</v>
      </c>
      <c r="AA77" s="7">
        <f t="shared" si="33"/>
        <v>-1.1660424597439434E-3</v>
      </c>
      <c r="AB77" s="3">
        <v>9.1300000000000008</v>
      </c>
      <c r="AC77" s="7">
        <f t="shared" si="34"/>
        <v>-1.6163793103448176E-2</v>
      </c>
      <c r="AD77" s="3">
        <v>72.895337999999995</v>
      </c>
      <c r="AE77" s="7">
        <f t="shared" si="35"/>
        <v>2.8420490306111379E-3</v>
      </c>
      <c r="AF77" s="3">
        <v>72.44408</v>
      </c>
      <c r="AG77" s="7">
        <f t="shared" si="36"/>
        <v>-2.5980417134781053E-3</v>
      </c>
      <c r="AH77" s="3">
        <v>10.149637</v>
      </c>
      <c r="AI77" s="7">
        <f t="shared" si="37"/>
        <v>4.825469678793981E-2</v>
      </c>
      <c r="AJ77" s="3">
        <v>85.988816</v>
      </c>
      <c r="AK77" s="7">
        <f t="shared" si="38"/>
        <v>5.1700045378808568E-3</v>
      </c>
      <c r="AL77" s="3">
        <v>8.2899999999999991</v>
      </c>
      <c r="AM77" s="7">
        <f t="shared" si="39"/>
        <v>4.8040455120101022E-2</v>
      </c>
      <c r="AN77" s="3">
        <v>0.21</v>
      </c>
      <c r="AO77" s="7">
        <f t="shared" si="40"/>
        <v>0.16666666666666674</v>
      </c>
      <c r="AP77" s="3">
        <v>7.29</v>
      </c>
      <c r="AQ77" s="7">
        <f t="shared" si="41"/>
        <v>7.0484581497797461E-2</v>
      </c>
    </row>
    <row r="78" spans="1:43" x14ac:dyDescent="0.3">
      <c r="A78" s="4">
        <v>42584</v>
      </c>
      <c r="B78" s="3">
        <v>18313.769531000002</v>
      </c>
      <c r="C78" s="7">
        <f t="shared" si="21"/>
        <v>-4.9303261077688898E-3</v>
      </c>
      <c r="D78" s="3">
        <v>103.386256</v>
      </c>
      <c r="E78" s="7">
        <f t="shared" si="22"/>
        <v>-1.480433261654146E-2</v>
      </c>
      <c r="F78" s="3">
        <v>96.050003000000004</v>
      </c>
      <c r="G78" s="7">
        <f t="shared" si="23"/>
        <v>-1.7089623238951801E-2</v>
      </c>
      <c r="H78" s="3">
        <v>56.229542000000002</v>
      </c>
      <c r="I78" s="7">
        <f t="shared" si="24"/>
        <v>0</v>
      </c>
      <c r="J78" s="3">
        <v>40.552897000000002</v>
      </c>
      <c r="K78" s="7">
        <f t="shared" si="25"/>
        <v>-1.0692660342089932E-2</v>
      </c>
      <c r="L78" s="3">
        <v>86.529999000000004</v>
      </c>
      <c r="M78" s="7">
        <f t="shared" si="26"/>
        <v>-8.5930340122941651E-3</v>
      </c>
      <c r="N78" s="3">
        <v>14.064543</v>
      </c>
      <c r="O78" s="7">
        <f t="shared" si="27"/>
        <v>-1.3956768469035596E-2</v>
      </c>
      <c r="P78" s="3">
        <v>42.848295999999998</v>
      </c>
      <c r="Q78" s="7">
        <f t="shared" si="28"/>
        <v>-9.903187325794649E-3</v>
      </c>
      <c r="R78" s="3">
        <v>7.21</v>
      </c>
      <c r="S78" s="7">
        <f t="shared" si="29"/>
        <v>-1.7711171662125325E-2</v>
      </c>
      <c r="T78" s="3">
        <v>63.190643999999999</v>
      </c>
      <c r="U78" s="7">
        <f t="shared" si="30"/>
        <v>-2.3510583646469962E-3</v>
      </c>
      <c r="V78" s="3">
        <v>46.929012</v>
      </c>
      <c r="W78" s="7">
        <f t="shared" si="31"/>
        <v>-2.300773042904658E-3</v>
      </c>
      <c r="X78" s="3">
        <v>165.54414299999999</v>
      </c>
      <c r="Y78" s="7">
        <f t="shared" si="32"/>
        <v>-6.3260822203112799E-3</v>
      </c>
      <c r="Z78" s="3">
        <v>136.51990000000001</v>
      </c>
      <c r="AA78" s="7">
        <f t="shared" si="33"/>
        <v>-1.1169576473015419E-2</v>
      </c>
      <c r="AB78" s="3">
        <v>9.2799999999999994</v>
      </c>
      <c r="AC78" s="7">
        <f t="shared" si="34"/>
        <v>-4.4284243048403837E-2</v>
      </c>
      <c r="AD78" s="3">
        <v>72.688753000000005</v>
      </c>
      <c r="AE78" s="7">
        <f t="shared" si="35"/>
        <v>-2.1454147851593275E-2</v>
      </c>
      <c r="AF78" s="3">
        <v>72.632783000000003</v>
      </c>
      <c r="AG78" s="7">
        <f t="shared" si="36"/>
        <v>-8.8099946007255125E-3</v>
      </c>
      <c r="AH78" s="3">
        <v>9.6824150000000007</v>
      </c>
      <c r="AI78" s="7">
        <f t="shared" si="37"/>
        <v>-3.6597382327782091E-2</v>
      </c>
      <c r="AJ78" s="3">
        <v>85.546539999999993</v>
      </c>
      <c r="AK78" s="7">
        <f t="shared" si="38"/>
        <v>1.3743312845212463E-2</v>
      </c>
      <c r="AL78" s="3">
        <v>7.91</v>
      </c>
      <c r="AM78" s="7">
        <f t="shared" si="39"/>
        <v>-2.1039603960396058E-2</v>
      </c>
      <c r="AN78" s="3">
        <v>0.18</v>
      </c>
      <c r="AO78" s="7">
        <f t="shared" si="40"/>
        <v>-0.1428571428571429</v>
      </c>
      <c r="AP78" s="3">
        <v>6.81</v>
      </c>
      <c r="AQ78" s="7">
        <f t="shared" si="41"/>
        <v>4.7692307692307701E-2</v>
      </c>
    </row>
    <row r="79" spans="1:43" x14ac:dyDescent="0.3">
      <c r="A79" s="4">
        <v>42583</v>
      </c>
      <c r="B79" s="3">
        <v>18404.509765999999</v>
      </c>
      <c r="C79" s="7">
        <f t="shared" si="21"/>
        <v>-1.504454566995661E-3</v>
      </c>
      <c r="D79" s="3">
        <v>104.93982</v>
      </c>
      <c r="E79" s="7">
        <f t="shared" si="22"/>
        <v>1.7656693943675528E-2</v>
      </c>
      <c r="F79" s="3">
        <v>97.720000999999996</v>
      </c>
      <c r="G79" s="7">
        <f t="shared" si="23"/>
        <v>-1.4306151499017261E-3</v>
      </c>
      <c r="H79" s="3">
        <v>56.229542000000002</v>
      </c>
      <c r="I79" s="7">
        <f t="shared" si="24"/>
        <v>-1.7642624469941248E-3</v>
      </c>
      <c r="J79" s="3">
        <v>40.991202000000001</v>
      </c>
      <c r="K79" s="7">
        <f t="shared" si="25"/>
        <v>2.680323918623051E-3</v>
      </c>
      <c r="L79" s="3">
        <v>87.279999000000004</v>
      </c>
      <c r="M79" s="7">
        <f t="shared" si="26"/>
        <v>-1.2587252690092754E-3</v>
      </c>
      <c r="N79" s="3">
        <v>14.263617</v>
      </c>
      <c r="O79" s="7">
        <f t="shared" si="27"/>
        <v>-1.1042042588596201E-2</v>
      </c>
      <c r="P79" s="3">
        <v>43.276874999999997</v>
      </c>
      <c r="Q79" s="7">
        <f t="shared" si="28"/>
        <v>-8.9021351181955977E-3</v>
      </c>
      <c r="R79" s="3">
        <v>7.34</v>
      </c>
      <c r="S79" s="7">
        <f t="shared" si="29"/>
        <v>-3.1662269129287601E-2</v>
      </c>
      <c r="T79" s="3">
        <v>63.339559000000001</v>
      </c>
      <c r="U79" s="7">
        <f t="shared" si="30"/>
        <v>-2.6575252312553976E-3</v>
      </c>
      <c r="V79" s="3">
        <v>47.037233999999998</v>
      </c>
      <c r="W79" s="7">
        <f t="shared" si="31"/>
        <v>-3.335420575655168E-3</v>
      </c>
      <c r="X79" s="3">
        <v>166.59805600000001</v>
      </c>
      <c r="Y79" s="7">
        <f t="shared" si="32"/>
        <v>2.0332309493231726E-3</v>
      </c>
      <c r="Z79" s="3">
        <v>138.061994</v>
      </c>
      <c r="AA79" s="7">
        <f t="shared" si="33"/>
        <v>3.8338979181253841E-3</v>
      </c>
      <c r="AB79" s="3">
        <v>9.7100000000000009</v>
      </c>
      <c r="AC79" s="7">
        <f t="shared" si="34"/>
        <v>5.1759834368529933E-3</v>
      </c>
      <c r="AD79" s="3">
        <v>74.282419000000004</v>
      </c>
      <c r="AE79" s="7">
        <f t="shared" si="35"/>
        <v>2.3894902587662248E-3</v>
      </c>
      <c r="AF79" s="3">
        <v>73.278364999999994</v>
      </c>
      <c r="AG79" s="7">
        <f t="shared" si="36"/>
        <v>1.1100413769789208E-2</v>
      </c>
      <c r="AH79" s="3">
        <v>10.050227</v>
      </c>
      <c r="AI79" s="7">
        <f t="shared" si="37"/>
        <v>-6.4754994607341021E-2</v>
      </c>
      <c r="AJ79" s="3">
        <v>84.386786000000001</v>
      </c>
      <c r="AK79" s="7">
        <f t="shared" si="38"/>
        <v>-3.4738586638754287E-2</v>
      </c>
      <c r="AL79" s="3">
        <v>8.08</v>
      </c>
      <c r="AM79" s="7">
        <f t="shared" si="39"/>
        <v>-6.9124423963133563E-2</v>
      </c>
      <c r="AN79" s="3">
        <v>0.21</v>
      </c>
      <c r="AO79" s="7">
        <f t="shared" si="40"/>
        <v>0</v>
      </c>
      <c r="AP79" s="3">
        <v>6.5</v>
      </c>
      <c r="AQ79" s="7">
        <f t="shared" si="41"/>
        <v>-0.11804613297150612</v>
      </c>
    </row>
    <row r="80" spans="1:43" x14ac:dyDescent="0.3">
      <c r="A80" s="4">
        <v>42580</v>
      </c>
      <c r="B80" s="3">
        <v>18432.240234000001</v>
      </c>
      <c r="C80" s="7">
        <f t="shared" si="21"/>
        <v>-1.3062916292094773E-3</v>
      </c>
      <c r="D80" s="3">
        <v>103.119078</v>
      </c>
      <c r="E80" s="7">
        <f t="shared" si="22"/>
        <v>-1.2459065074709175E-3</v>
      </c>
      <c r="F80" s="3">
        <v>97.860000999999997</v>
      </c>
      <c r="G80" s="7">
        <f t="shared" si="23"/>
        <v>-5.8919238949224351E-3</v>
      </c>
      <c r="H80" s="3">
        <v>56.328921000000001</v>
      </c>
      <c r="I80" s="7">
        <f t="shared" si="24"/>
        <v>8.3615232733778022E-3</v>
      </c>
      <c r="J80" s="3">
        <v>40.881625999999997</v>
      </c>
      <c r="K80" s="7">
        <f t="shared" si="25"/>
        <v>-3.6416084455075381E-3</v>
      </c>
      <c r="L80" s="3">
        <v>87.389999000000003</v>
      </c>
      <c r="M80" s="7">
        <f t="shared" si="26"/>
        <v>9.8220243838453847E-3</v>
      </c>
      <c r="N80" s="3">
        <v>14.422874999999999</v>
      </c>
      <c r="O80" s="7">
        <f t="shared" si="27"/>
        <v>-1.2942858730593643E-2</v>
      </c>
      <c r="P80" s="3">
        <v>43.665591999999997</v>
      </c>
      <c r="Q80" s="7">
        <f t="shared" si="28"/>
        <v>-6.125249099783403E-3</v>
      </c>
      <c r="R80" s="3">
        <v>7.58</v>
      </c>
      <c r="S80" s="7">
        <f t="shared" si="29"/>
        <v>-5.3682896379525613E-2</v>
      </c>
      <c r="T80" s="3">
        <v>63.508333999999998</v>
      </c>
      <c r="U80" s="7">
        <f t="shared" si="30"/>
        <v>-2.0280371950498477E-3</v>
      </c>
      <c r="V80" s="3">
        <v>47.194648000000001</v>
      </c>
      <c r="W80" s="7">
        <f t="shared" si="31"/>
        <v>-3.3243325285390313E-3</v>
      </c>
      <c r="X80" s="3">
        <v>166.26001099999999</v>
      </c>
      <c r="Y80" s="7">
        <f t="shared" si="32"/>
        <v>5.2299038209802085E-3</v>
      </c>
      <c r="Z80" s="3">
        <v>137.53469999999999</v>
      </c>
      <c r="AA80" s="7">
        <f t="shared" si="33"/>
        <v>2.0295705702146893E-3</v>
      </c>
      <c r="AB80" s="3">
        <v>9.66</v>
      </c>
      <c r="AC80" s="7">
        <f t="shared" si="34"/>
        <v>1.7913593256059013E-2</v>
      </c>
      <c r="AD80" s="3">
        <v>74.105345</v>
      </c>
      <c r="AE80" s="7">
        <f t="shared" si="35"/>
        <v>7.220228775272064E-3</v>
      </c>
      <c r="AF80" s="3">
        <v>72.473875000000007</v>
      </c>
      <c r="AG80" s="7">
        <f t="shared" si="36"/>
        <v>-3.6864654159527444E-3</v>
      </c>
      <c r="AH80" s="3">
        <v>10.746090000000001</v>
      </c>
      <c r="AI80" s="7">
        <f t="shared" si="37"/>
        <v>-6.4338095926689265E-3</v>
      </c>
      <c r="AJ80" s="3">
        <v>87.423764000000006</v>
      </c>
      <c r="AK80" s="7">
        <f t="shared" si="38"/>
        <v>-1.3858092551129686E-2</v>
      </c>
      <c r="AL80" s="3">
        <v>8.68</v>
      </c>
      <c r="AM80" s="7">
        <f t="shared" si="39"/>
        <v>7.6923076923076872E-2</v>
      </c>
      <c r="AN80" s="3">
        <v>0.21</v>
      </c>
      <c r="AO80" s="7">
        <f t="shared" si="40"/>
        <v>-4.5454545454545525E-2</v>
      </c>
      <c r="AP80" s="3">
        <v>7.37</v>
      </c>
      <c r="AQ80" s="7">
        <f t="shared" si="41"/>
        <v>7.7485380116959046E-2</v>
      </c>
    </row>
    <row r="81" spans="1:43" x14ac:dyDescent="0.3">
      <c r="A81" s="4">
        <v>42579</v>
      </c>
      <c r="B81" s="3">
        <v>18456.349609000001</v>
      </c>
      <c r="C81" s="7">
        <f t="shared" si="21"/>
        <v>-8.5644042182386748E-4</v>
      </c>
      <c r="D81" s="3">
        <v>103.247715</v>
      </c>
      <c r="E81" s="7">
        <f t="shared" si="22"/>
        <v>1.3501692271165489E-2</v>
      </c>
      <c r="F81" s="3">
        <v>98.440002000000007</v>
      </c>
      <c r="G81" s="7">
        <f t="shared" si="23"/>
        <v>5.2078219136117987E-3</v>
      </c>
      <c r="H81" s="3">
        <v>55.861831000000002</v>
      </c>
      <c r="I81" s="7">
        <f t="shared" si="24"/>
        <v>3.5593309725645561E-4</v>
      </c>
      <c r="J81" s="3">
        <v>41.031044999999999</v>
      </c>
      <c r="K81" s="7">
        <f t="shared" si="25"/>
        <v>6.3522682818253351E-3</v>
      </c>
      <c r="L81" s="3">
        <v>86.540001000000004</v>
      </c>
      <c r="M81" s="7">
        <f t="shared" si="26"/>
        <v>4.5269760991997199E-3</v>
      </c>
      <c r="N81" s="3">
        <v>14.611996</v>
      </c>
      <c r="O81" s="7">
        <f t="shared" si="27"/>
        <v>3.417677804363306E-3</v>
      </c>
      <c r="P81" s="3">
        <v>43.934702999999999</v>
      </c>
      <c r="Q81" s="7">
        <f t="shared" si="28"/>
        <v>-1.1329890775024776E-3</v>
      </c>
      <c r="R81" s="3">
        <v>8.01</v>
      </c>
      <c r="S81" s="7">
        <f t="shared" si="29"/>
        <v>3.759398496240518E-3</v>
      </c>
      <c r="T81" s="3">
        <v>63.637393000000003</v>
      </c>
      <c r="U81" s="7">
        <f t="shared" si="30"/>
        <v>-3.5753756352956412E-3</v>
      </c>
      <c r="V81" s="3">
        <v>47.352061999999997</v>
      </c>
      <c r="W81" s="7">
        <f t="shared" si="31"/>
        <v>2.7083593352064117E-3</v>
      </c>
      <c r="X81" s="3">
        <v>165.39501100000001</v>
      </c>
      <c r="Y81" s="7">
        <f t="shared" si="32"/>
        <v>1.203805316355222E-3</v>
      </c>
      <c r="Z81" s="3">
        <v>137.25612899999999</v>
      </c>
      <c r="AA81" s="7">
        <f t="shared" si="33"/>
        <v>1.2104823067679904E-2</v>
      </c>
      <c r="AB81" s="3">
        <v>9.49</v>
      </c>
      <c r="AC81" s="7">
        <f t="shared" si="34"/>
        <v>9.5744680851064246E-3</v>
      </c>
      <c r="AD81" s="3">
        <v>73.574123</v>
      </c>
      <c r="AE81" s="7">
        <f t="shared" si="35"/>
        <v>-6.1129476570626062E-3</v>
      </c>
      <c r="AF81" s="3">
        <v>72.742035999999999</v>
      </c>
      <c r="AG81" s="7">
        <f t="shared" si="36"/>
        <v>-1.0911338896727463E-3</v>
      </c>
      <c r="AH81" s="3">
        <v>10.815676</v>
      </c>
      <c r="AI81" s="7">
        <f t="shared" si="37"/>
        <v>-4.0564338226814711E-2</v>
      </c>
      <c r="AJ81" s="3">
        <v>88.652315999999999</v>
      </c>
      <c r="AK81" s="7">
        <f t="shared" si="38"/>
        <v>-7.8099933587121306E-3</v>
      </c>
      <c r="AL81" s="3">
        <v>8.06</v>
      </c>
      <c r="AM81" s="7">
        <f t="shared" si="39"/>
        <v>-3.2412965186074394E-2</v>
      </c>
      <c r="AN81" s="3">
        <v>0.22</v>
      </c>
      <c r="AO81" s="7">
        <f t="shared" si="40"/>
        <v>-8.3333333333333259E-2</v>
      </c>
      <c r="AP81" s="3">
        <v>6.84</v>
      </c>
      <c r="AQ81" s="7">
        <f t="shared" si="41"/>
        <v>-6.938775510204076E-2</v>
      </c>
    </row>
    <row r="82" spans="1:43" x14ac:dyDescent="0.3">
      <c r="A82" s="4">
        <v>42578</v>
      </c>
      <c r="B82" s="3">
        <v>18472.169922000001</v>
      </c>
      <c r="C82" s="7">
        <f t="shared" si="21"/>
        <v>-8.5530983151671514E-5</v>
      </c>
      <c r="D82" s="3">
        <v>101.87226699999999</v>
      </c>
      <c r="E82" s="7">
        <f t="shared" si="22"/>
        <v>6.4963268627478143E-2</v>
      </c>
      <c r="F82" s="3">
        <v>97.93</v>
      </c>
      <c r="G82" s="7">
        <f t="shared" si="23"/>
        <v>2.0422836465217031E-4</v>
      </c>
      <c r="H82" s="3">
        <v>55.841954999999999</v>
      </c>
      <c r="I82" s="7">
        <f t="shared" si="24"/>
        <v>-1.0042276664208871E-2</v>
      </c>
      <c r="J82" s="3">
        <v>40.77205</v>
      </c>
      <c r="K82" s="7">
        <f t="shared" si="25"/>
        <v>-2.4420081904263924E-4</v>
      </c>
      <c r="L82" s="3">
        <v>86.150002000000001</v>
      </c>
      <c r="M82" s="7">
        <f t="shared" si="26"/>
        <v>9.6097501556369203E-3</v>
      </c>
      <c r="N82" s="3">
        <v>14.562227</v>
      </c>
      <c r="O82" s="7">
        <f t="shared" si="27"/>
        <v>6.8823296357731767E-3</v>
      </c>
      <c r="P82" s="3">
        <v>43.984537000000003</v>
      </c>
      <c r="Q82" s="7">
        <f t="shared" si="28"/>
        <v>3.170997947041565E-3</v>
      </c>
      <c r="R82" s="3">
        <v>7.98</v>
      </c>
      <c r="S82" s="7">
        <f t="shared" si="29"/>
        <v>1.9157088122605304E-2</v>
      </c>
      <c r="T82" s="3">
        <v>63.865737000000003</v>
      </c>
      <c r="U82" s="7">
        <f t="shared" si="30"/>
        <v>3.1187342124301409E-3</v>
      </c>
      <c r="V82" s="3">
        <v>47.224162</v>
      </c>
      <c r="W82" s="7">
        <f t="shared" si="31"/>
        <v>6.2536752048658606E-4</v>
      </c>
      <c r="X82" s="3">
        <v>165.196147</v>
      </c>
      <c r="Y82" s="7">
        <f t="shared" si="32"/>
        <v>-8.4741484935106914E-3</v>
      </c>
      <c r="Z82" s="3">
        <v>135.61453900000001</v>
      </c>
      <c r="AA82" s="7">
        <f t="shared" si="33"/>
        <v>-3.2175642225105161E-3</v>
      </c>
      <c r="AB82" s="3">
        <v>9.4</v>
      </c>
      <c r="AC82" s="7">
        <f t="shared" si="34"/>
        <v>-2.5906735751295318E-2</v>
      </c>
      <c r="AD82" s="3">
        <v>74.026644000000005</v>
      </c>
      <c r="AE82" s="7">
        <f t="shared" si="35"/>
        <v>-1.2726325212929157E-2</v>
      </c>
      <c r="AF82" s="3">
        <v>72.821494000000001</v>
      </c>
      <c r="AG82" s="7">
        <f t="shared" si="36"/>
        <v>-5.5608790595929047E-3</v>
      </c>
      <c r="AH82" s="3">
        <v>11.272956000000001</v>
      </c>
      <c r="AI82" s="7">
        <f t="shared" si="37"/>
        <v>-6.0480521125727549E-2</v>
      </c>
      <c r="AJ82" s="3">
        <v>89.350139999999996</v>
      </c>
      <c r="AK82" s="7">
        <f t="shared" si="38"/>
        <v>-6.7736817158948748E-3</v>
      </c>
      <c r="AL82" s="3">
        <v>8.33</v>
      </c>
      <c r="AM82" s="7">
        <f t="shared" si="39"/>
        <v>-9.5124851367419661E-3</v>
      </c>
      <c r="AN82" s="3">
        <v>0.24</v>
      </c>
      <c r="AO82" s="7">
        <f t="shared" si="40"/>
        <v>0.14285714285714279</v>
      </c>
      <c r="AP82" s="3">
        <v>7.35</v>
      </c>
      <c r="AQ82" s="7">
        <f t="shared" si="41"/>
        <v>-5.889884763124198E-2</v>
      </c>
    </row>
    <row r="83" spans="1:43" x14ac:dyDescent="0.3">
      <c r="A83" s="4">
        <v>42577</v>
      </c>
      <c r="B83" s="3">
        <v>18473.75</v>
      </c>
      <c r="C83" s="7">
        <f t="shared" si="21"/>
        <v>-1.0442050384750212E-3</v>
      </c>
      <c r="D83" s="3">
        <v>95.658010000000004</v>
      </c>
      <c r="E83" s="7">
        <f t="shared" si="22"/>
        <v>-6.8830685032174044E-3</v>
      </c>
      <c r="F83" s="3">
        <v>97.910004000000001</v>
      </c>
      <c r="G83" s="7">
        <f t="shared" si="23"/>
        <v>6.0625154130704573E-3</v>
      </c>
      <c r="H83" s="3">
        <v>56.408423999999997</v>
      </c>
      <c r="I83" s="7">
        <f t="shared" si="24"/>
        <v>5.2879983155307286E-4</v>
      </c>
      <c r="J83" s="3">
        <v>40.782009000000002</v>
      </c>
      <c r="K83" s="7">
        <f t="shared" si="25"/>
        <v>-5.3450436355925168E-3</v>
      </c>
      <c r="L83" s="3">
        <v>85.330001999999993</v>
      </c>
      <c r="M83" s="7">
        <f t="shared" si="26"/>
        <v>7.5569723094348618E-3</v>
      </c>
      <c r="N83" s="3">
        <v>14.46269</v>
      </c>
      <c r="O83" s="7">
        <f t="shared" si="27"/>
        <v>1.1134321548445403E-2</v>
      </c>
      <c r="P83" s="3">
        <v>43.845503000000001</v>
      </c>
      <c r="Q83" s="7">
        <f t="shared" si="28"/>
        <v>2.4977443773714914E-3</v>
      </c>
      <c r="R83" s="3">
        <v>7.83</v>
      </c>
      <c r="S83" s="7">
        <f t="shared" si="29"/>
        <v>-3.8167938931298329E-3</v>
      </c>
      <c r="T83" s="3">
        <v>63.667175999999998</v>
      </c>
      <c r="U83" s="7">
        <f t="shared" si="30"/>
        <v>4.0707435881317533E-3</v>
      </c>
      <c r="V83" s="3">
        <v>47.194648000000001</v>
      </c>
      <c r="W83" s="7">
        <f t="shared" si="31"/>
        <v>-3.1171541360511812E-3</v>
      </c>
      <c r="X83" s="3">
        <v>166.60800800000001</v>
      </c>
      <c r="Y83" s="7">
        <f t="shared" si="32"/>
        <v>-2.3813378111843253E-3</v>
      </c>
      <c r="Z83" s="3">
        <v>136.05229600000001</v>
      </c>
      <c r="AA83" s="7">
        <f t="shared" si="33"/>
        <v>1.8314982171456773E-3</v>
      </c>
      <c r="AB83" s="3">
        <v>9.65</v>
      </c>
      <c r="AC83" s="7">
        <f t="shared" si="34"/>
        <v>1.9007391763463444E-2</v>
      </c>
      <c r="AD83" s="3">
        <v>74.980874999999997</v>
      </c>
      <c r="AE83" s="7">
        <f t="shared" si="35"/>
        <v>-1.0485270920193024E-3</v>
      </c>
      <c r="AF83" s="3">
        <v>73.228710000000007</v>
      </c>
      <c r="AG83" s="7">
        <f t="shared" si="36"/>
        <v>-2.7114522138582675E-4</v>
      </c>
      <c r="AH83" s="3">
        <v>11.99864</v>
      </c>
      <c r="AI83" s="7">
        <f t="shared" si="37"/>
        <v>1.4285720323813589E-2</v>
      </c>
      <c r="AJ83" s="3">
        <v>89.959496999999999</v>
      </c>
      <c r="AK83" s="7">
        <f t="shared" si="38"/>
        <v>-7.2667903426116842E-3</v>
      </c>
      <c r="AL83" s="3">
        <v>8.41</v>
      </c>
      <c r="AM83" s="7">
        <f t="shared" si="39"/>
        <v>1.4475271411338975E-2</v>
      </c>
      <c r="AN83" s="3">
        <v>0.21</v>
      </c>
      <c r="AO83" s="7">
        <f t="shared" si="40"/>
        <v>0</v>
      </c>
      <c r="AP83" s="3">
        <v>7.81</v>
      </c>
      <c r="AQ83" s="7">
        <f t="shared" si="41"/>
        <v>5.1480051480050637E-3</v>
      </c>
    </row>
    <row r="84" spans="1:43" x14ac:dyDescent="0.3">
      <c r="A84" s="4">
        <v>42576</v>
      </c>
      <c r="B84" s="3">
        <v>18493.060547000001</v>
      </c>
      <c r="C84" s="7">
        <f t="shared" si="21"/>
        <v>-4.1887723845601688E-3</v>
      </c>
      <c r="D84" s="3">
        <v>96.320993999999999</v>
      </c>
      <c r="E84" s="7">
        <f t="shared" si="22"/>
        <v>-1.33793576733644E-2</v>
      </c>
      <c r="F84" s="3">
        <v>97.32</v>
      </c>
      <c r="G84" s="7">
        <f t="shared" si="23"/>
        <v>-7.5463799214028349E-3</v>
      </c>
      <c r="H84" s="3">
        <v>56.378610999999999</v>
      </c>
      <c r="I84" s="7">
        <f t="shared" si="24"/>
        <v>2.8283551349224112E-3</v>
      </c>
      <c r="J84" s="3">
        <v>41.001162000000001</v>
      </c>
      <c r="K84" s="7">
        <f t="shared" si="25"/>
        <v>1.9473884028413657E-3</v>
      </c>
      <c r="L84" s="3">
        <v>84.690002000000007</v>
      </c>
      <c r="M84" s="7">
        <f t="shared" si="26"/>
        <v>2.8419776024386501E-3</v>
      </c>
      <c r="N84" s="3">
        <v>14.303431</v>
      </c>
      <c r="O84" s="7">
        <f t="shared" si="27"/>
        <v>-6.9543298108731832E-4</v>
      </c>
      <c r="P84" s="3">
        <v>43.736260999999999</v>
      </c>
      <c r="Q84" s="7">
        <f t="shared" si="28"/>
        <v>-5.8690336189102243E-3</v>
      </c>
      <c r="R84" s="3">
        <v>7.86</v>
      </c>
      <c r="S84" s="7">
        <f t="shared" si="29"/>
        <v>5.1150895140665842E-3</v>
      </c>
      <c r="T84" s="3">
        <v>63.409053999999998</v>
      </c>
      <c r="U84" s="7">
        <f t="shared" si="30"/>
        <v>-2.6546203708843752E-3</v>
      </c>
      <c r="V84" s="3">
        <v>47.342221000000002</v>
      </c>
      <c r="W84" s="7">
        <f t="shared" si="31"/>
        <v>-4.1391077092718387E-3</v>
      </c>
      <c r="X84" s="3">
        <v>167.00570500000001</v>
      </c>
      <c r="Y84" s="7">
        <f t="shared" si="32"/>
        <v>2.9856059786375067E-3</v>
      </c>
      <c r="Z84" s="3">
        <v>135.803572</v>
      </c>
      <c r="AA84" s="7">
        <f t="shared" si="33"/>
        <v>-1.4652842703755109E-4</v>
      </c>
      <c r="AB84" s="3">
        <v>9.4700000000000006</v>
      </c>
      <c r="AC84" s="7">
        <f t="shared" si="34"/>
        <v>3.4972677595628499E-2</v>
      </c>
      <c r="AD84" s="3">
        <v>75.059577000000004</v>
      </c>
      <c r="AE84" s="7">
        <f t="shared" si="35"/>
        <v>1.841971549024457E-2</v>
      </c>
      <c r="AF84" s="3">
        <v>73.248570999999998</v>
      </c>
      <c r="AG84" s="7">
        <f t="shared" si="36"/>
        <v>2.7192085172753622E-3</v>
      </c>
      <c r="AH84" s="3">
        <v>11.829644999999999</v>
      </c>
      <c r="AI84" s="7">
        <f t="shared" si="37"/>
        <v>-2.5389007508107797E-2</v>
      </c>
      <c r="AJ84" s="3">
        <v>90.617998999999998</v>
      </c>
      <c r="AK84" s="7">
        <f t="shared" si="38"/>
        <v>-1.925333074854374E-2</v>
      </c>
      <c r="AL84" s="3">
        <v>8.2899999999999991</v>
      </c>
      <c r="AM84" s="7">
        <f t="shared" si="39"/>
        <v>-2.0094562647754333E-2</v>
      </c>
      <c r="AN84" s="3">
        <v>0.21</v>
      </c>
      <c r="AO84" s="7">
        <f t="shared" si="40"/>
        <v>-4.5454545454545525E-2</v>
      </c>
      <c r="AP84" s="3">
        <v>7.77</v>
      </c>
      <c r="AQ84" s="7">
        <f t="shared" si="41"/>
        <v>-5.0122249388753093E-2</v>
      </c>
    </row>
    <row r="85" spans="1:43" x14ac:dyDescent="0.3">
      <c r="A85" s="4">
        <v>42573</v>
      </c>
      <c r="B85" s="3">
        <v>18570.849609000001</v>
      </c>
      <c r="C85" s="7">
        <f t="shared" si="21"/>
        <v>2.8956349649460478E-3</v>
      </c>
      <c r="D85" s="3">
        <v>97.627183000000002</v>
      </c>
      <c r="E85" s="7">
        <f t="shared" si="22"/>
        <v>-7.7441083703574387E-3</v>
      </c>
      <c r="F85" s="3">
        <v>98.059997999999993</v>
      </c>
      <c r="G85" s="7">
        <f t="shared" si="23"/>
        <v>1.7853457249468851E-2</v>
      </c>
      <c r="H85" s="3">
        <v>56.219602000000002</v>
      </c>
      <c r="I85" s="7">
        <f t="shared" si="24"/>
        <v>1.3799290952195564E-2</v>
      </c>
      <c r="J85" s="3">
        <v>40.921472000000001</v>
      </c>
      <c r="K85" s="7">
        <f t="shared" si="25"/>
        <v>2.4352560547202806E-4</v>
      </c>
      <c r="L85" s="3">
        <v>84.449996999999996</v>
      </c>
      <c r="M85" s="7">
        <f t="shared" si="26"/>
        <v>2.9691212459306282E-3</v>
      </c>
      <c r="N85" s="3">
        <v>14.313385</v>
      </c>
      <c r="O85" s="7">
        <f t="shared" si="27"/>
        <v>7.7084489852961013E-3</v>
      </c>
      <c r="P85" s="3">
        <v>43.994466000000003</v>
      </c>
      <c r="Q85" s="7">
        <f t="shared" si="28"/>
        <v>3.8522198420833931E-3</v>
      </c>
      <c r="R85" s="3">
        <v>7.82</v>
      </c>
      <c r="S85" s="7">
        <f t="shared" si="29"/>
        <v>-2.5510204081632404E-3</v>
      </c>
      <c r="T85" s="3">
        <v>63.577829000000001</v>
      </c>
      <c r="U85" s="7">
        <f t="shared" si="30"/>
        <v>5.4954146072125898E-3</v>
      </c>
      <c r="V85" s="3">
        <v>47.538989999999998</v>
      </c>
      <c r="W85" s="7">
        <f t="shared" si="31"/>
        <v>4.1410532206365147E-4</v>
      </c>
      <c r="X85" s="3">
        <v>166.50857600000001</v>
      </c>
      <c r="Y85" s="7">
        <f t="shared" si="32"/>
        <v>2.5142062342706772E-3</v>
      </c>
      <c r="Z85" s="3">
        <v>135.823474</v>
      </c>
      <c r="AA85" s="7">
        <f t="shared" si="33"/>
        <v>3.3070983831058332E-3</v>
      </c>
      <c r="AB85" s="3">
        <v>9.15</v>
      </c>
      <c r="AC85" s="7">
        <f t="shared" si="34"/>
        <v>6.6006600660066805E-3</v>
      </c>
      <c r="AD85" s="3">
        <v>73.702006999999995</v>
      </c>
      <c r="AE85" s="7">
        <f t="shared" si="35"/>
        <v>7.8020212211344919E-3</v>
      </c>
      <c r="AF85" s="3">
        <v>73.049932999999996</v>
      </c>
      <c r="AG85" s="7">
        <f t="shared" si="36"/>
        <v>4.0813402539630061E-4</v>
      </c>
      <c r="AH85" s="3">
        <v>12.137812</v>
      </c>
      <c r="AI85" s="7">
        <f t="shared" si="37"/>
        <v>-5.6414212745897307E-2</v>
      </c>
      <c r="AJ85" s="3">
        <v>92.396947999999995</v>
      </c>
      <c r="AK85" s="7">
        <f t="shared" si="38"/>
        <v>1.7048951671985169E-3</v>
      </c>
      <c r="AL85" s="3">
        <v>8.4600000000000009</v>
      </c>
      <c r="AM85" s="7">
        <f t="shared" si="39"/>
        <v>1.0752688172043223E-2</v>
      </c>
      <c r="AN85" s="3">
        <v>0.22</v>
      </c>
      <c r="AO85" s="7">
        <f t="shared" si="40"/>
        <v>0</v>
      </c>
      <c r="AP85" s="3">
        <v>8.18</v>
      </c>
      <c r="AQ85" s="7">
        <f t="shared" si="41"/>
        <v>-1.800720288115254E-2</v>
      </c>
    </row>
    <row r="86" spans="1:43" x14ac:dyDescent="0.3">
      <c r="A86" s="4">
        <v>42572</v>
      </c>
      <c r="B86" s="3">
        <v>18517.230468999998</v>
      </c>
      <c r="C86" s="7">
        <f t="shared" si="21"/>
        <v>-4.1838507892296706E-3</v>
      </c>
      <c r="D86" s="3">
        <v>98.389118999999994</v>
      </c>
      <c r="E86" s="7">
        <f t="shared" si="22"/>
        <v>-5.3021137544627672E-3</v>
      </c>
      <c r="F86" s="3">
        <v>96.339995999999999</v>
      </c>
      <c r="G86" s="7">
        <f t="shared" si="23"/>
        <v>-2.0935019899694707E-2</v>
      </c>
      <c r="H86" s="3">
        <v>55.454371000000002</v>
      </c>
      <c r="I86" s="7">
        <f t="shared" si="24"/>
        <v>-1.967453925396212E-3</v>
      </c>
      <c r="J86" s="3">
        <v>40.911509000000002</v>
      </c>
      <c r="K86" s="7">
        <f t="shared" si="25"/>
        <v>-4.3636273547659199E-3</v>
      </c>
      <c r="L86" s="3">
        <v>84.199996999999996</v>
      </c>
      <c r="M86" s="7">
        <f t="shared" si="26"/>
        <v>5.8535181681222959E-3</v>
      </c>
      <c r="N86" s="3">
        <v>14.203894999999999</v>
      </c>
      <c r="O86" s="7">
        <f t="shared" si="27"/>
        <v>-9.0277237078544292E-3</v>
      </c>
      <c r="P86" s="3">
        <v>43.82564</v>
      </c>
      <c r="Q86" s="7">
        <f t="shared" si="28"/>
        <v>-7.645602530336526E-3</v>
      </c>
      <c r="R86" s="3">
        <v>7.84</v>
      </c>
      <c r="S86" s="7">
        <f t="shared" si="29"/>
        <v>-7.5949367088608E-3</v>
      </c>
      <c r="T86" s="3">
        <v>63.230352000000003</v>
      </c>
      <c r="U86" s="7">
        <f t="shared" si="30"/>
        <v>-3.7541385410888584E-3</v>
      </c>
      <c r="V86" s="3">
        <v>47.519311999999999</v>
      </c>
      <c r="W86" s="7">
        <f t="shared" si="31"/>
        <v>-6.3773224253785843E-3</v>
      </c>
      <c r="X86" s="3">
        <v>166.09098900000001</v>
      </c>
      <c r="Y86" s="7">
        <f t="shared" si="32"/>
        <v>-5.8913976127266121E-3</v>
      </c>
      <c r="Z86" s="3">
        <v>135.37577300000001</v>
      </c>
      <c r="AA86" s="7">
        <f t="shared" si="33"/>
        <v>-9.7518133654074246E-3</v>
      </c>
      <c r="AB86" s="3">
        <v>9.09</v>
      </c>
      <c r="AC86" s="7">
        <f t="shared" si="34"/>
        <v>2.4802705749718212E-2</v>
      </c>
      <c r="AD86" s="3">
        <v>73.131433999999999</v>
      </c>
      <c r="AE86" s="7">
        <f t="shared" si="35"/>
        <v>-1.8797948632279793E-3</v>
      </c>
      <c r="AF86" s="3">
        <v>73.020131000000006</v>
      </c>
      <c r="AG86" s="7">
        <f t="shared" si="36"/>
        <v>-3.659097018214319E-3</v>
      </c>
      <c r="AH86" s="3">
        <v>12.863496</v>
      </c>
      <c r="AI86" s="7">
        <f t="shared" si="37"/>
        <v>-4.148154131395787E-2</v>
      </c>
      <c r="AJ86" s="3">
        <v>92.239688999999998</v>
      </c>
      <c r="AK86" s="7">
        <f t="shared" si="38"/>
        <v>-8.5171612420420484E-4</v>
      </c>
      <c r="AL86" s="3">
        <v>8.3699999999999992</v>
      </c>
      <c r="AM86" s="7">
        <f t="shared" si="39"/>
        <v>-1.1933174224345588E-3</v>
      </c>
      <c r="AN86" s="3">
        <v>0.22</v>
      </c>
      <c r="AO86" s="7">
        <f t="shared" si="40"/>
        <v>0</v>
      </c>
      <c r="AP86" s="3">
        <v>8.33</v>
      </c>
      <c r="AQ86" s="7">
        <f t="shared" si="41"/>
        <v>-5.3409090909090962E-2</v>
      </c>
    </row>
    <row r="87" spans="1:43" x14ac:dyDescent="0.3">
      <c r="A87" s="4">
        <v>42571</v>
      </c>
      <c r="B87" s="3">
        <v>18595.029297000001</v>
      </c>
      <c r="C87" s="7">
        <f t="shared" si="21"/>
        <v>1.9408110375580545E-3</v>
      </c>
      <c r="D87" s="3">
        <v>98.913570000000007</v>
      </c>
      <c r="E87" s="7">
        <f t="shared" si="22"/>
        <v>9.0114279842401501E-4</v>
      </c>
      <c r="F87" s="3">
        <v>98.400002000000001</v>
      </c>
      <c r="G87" s="7">
        <f t="shared" si="23"/>
        <v>6.2378667937634802E-3</v>
      </c>
      <c r="H87" s="3">
        <v>55.563690000000001</v>
      </c>
      <c r="I87" s="7">
        <f t="shared" si="24"/>
        <v>5.3117333019870427E-2</v>
      </c>
      <c r="J87" s="3">
        <v>41.090814000000002</v>
      </c>
      <c r="K87" s="7">
        <f t="shared" si="25"/>
        <v>4.1382186838245794E-3</v>
      </c>
      <c r="L87" s="3">
        <v>83.709998999999996</v>
      </c>
      <c r="M87" s="7">
        <f t="shared" si="26"/>
        <v>5.5345423600605237E-2</v>
      </c>
      <c r="N87" s="3">
        <v>14.333292</v>
      </c>
      <c r="O87" s="7">
        <f t="shared" si="27"/>
        <v>9.8176397943319227E-3</v>
      </c>
      <c r="P87" s="3">
        <v>44.163294999999998</v>
      </c>
      <c r="Q87" s="7">
        <f t="shared" si="28"/>
        <v>2.7058095382539449E-3</v>
      </c>
      <c r="R87" s="3">
        <v>7.9</v>
      </c>
      <c r="S87" s="7">
        <f t="shared" si="29"/>
        <v>0</v>
      </c>
      <c r="T87" s="3">
        <v>63.468622000000003</v>
      </c>
      <c r="U87" s="7">
        <f t="shared" si="30"/>
        <v>1.0961507403721704E-3</v>
      </c>
      <c r="V87" s="3">
        <v>47.824303</v>
      </c>
      <c r="W87" s="7">
        <f t="shared" si="31"/>
        <v>4.9617782196802462E-3</v>
      </c>
      <c r="X87" s="3">
        <v>167.07529600000001</v>
      </c>
      <c r="Y87" s="7">
        <f t="shared" si="32"/>
        <v>-4.7585819801398976E-4</v>
      </c>
      <c r="Z87" s="3">
        <v>136.708933</v>
      </c>
      <c r="AA87" s="7">
        <f t="shared" si="33"/>
        <v>3.1392022837735123E-3</v>
      </c>
      <c r="AB87" s="3">
        <v>8.8699999999999992</v>
      </c>
      <c r="AC87" s="7">
        <f t="shared" si="34"/>
        <v>3.7426900584795142E-2</v>
      </c>
      <c r="AD87" s="3">
        <v>73.269165000000001</v>
      </c>
      <c r="AE87" s="7">
        <f t="shared" si="35"/>
        <v>7.1670920519562031E-3</v>
      </c>
      <c r="AF87" s="3">
        <v>73.288300000000007</v>
      </c>
      <c r="AG87" s="7">
        <f t="shared" si="36"/>
        <v>1.7648364759006441E-3</v>
      </c>
      <c r="AH87" s="3">
        <v>13.420185999999999</v>
      </c>
      <c r="AI87" s="7">
        <f t="shared" si="37"/>
        <v>9.7233050389009534E-3</v>
      </c>
      <c r="AJ87" s="3">
        <v>92.318318000000005</v>
      </c>
      <c r="AK87" s="7">
        <f t="shared" si="38"/>
        <v>-5.7161163968346695E-3</v>
      </c>
      <c r="AL87" s="3">
        <v>8.3800000000000008</v>
      </c>
      <c r="AM87" s="7">
        <f t="shared" si="39"/>
        <v>-1.0625737898465104E-2</v>
      </c>
      <c r="AN87" s="3">
        <v>0.22</v>
      </c>
      <c r="AO87" s="7">
        <f t="shared" si="40"/>
        <v>-4.3478260869565299E-2</v>
      </c>
      <c r="AP87" s="3">
        <v>8.8000000000000007</v>
      </c>
      <c r="AQ87" s="7">
        <f t="shared" si="41"/>
        <v>1.0332950631458004E-2</v>
      </c>
    </row>
    <row r="88" spans="1:43" x14ac:dyDescent="0.3">
      <c r="A88" s="4">
        <v>42570</v>
      </c>
      <c r="B88" s="3">
        <v>18559.009765999999</v>
      </c>
      <c r="C88" s="7">
        <f t="shared" si="21"/>
        <v>1.4006860126132281E-3</v>
      </c>
      <c r="D88" s="3">
        <v>98.824515000000005</v>
      </c>
      <c r="E88" s="7">
        <f t="shared" si="22"/>
        <v>4.0068863538134103E-4</v>
      </c>
      <c r="F88" s="3">
        <v>97.790001000000004</v>
      </c>
      <c r="G88" s="7">
        <f t="shared" si="23"/>
        <v>0</v>
      </c>
      <c r="H88" s="3">
        <v>52.761158000000002</v>
      </c>
      <c r="I88" s="7">
        <f t="shared" si="24"/>
        <v>-1.6123032494378409E-2</v>
      </c>
      <c r="J88" s="3">
        <v>40.921472000000001</v>
      </c>
      <c r="K88" s="7">
        <f t="shared" si="25"/>
        <v>-1.3448560582337565E-2</v>
      </c>
      <c r="L88" s="3">
        <v>79.319999999999993</v>
      </c>
      <c r="M88" s="7">
        <f t="shared" si="26"/>
        <v>-3.3923358910585844E-3</v>
      </c>
      <c r="N88" s="3">
        <v>14.193941000000001</v>
      </c>
      <c r="O88" s="7">
        <f t="shared" si="27"/>
        <v>1.063082095049106E-2</v>
      </c>
      <c r="P88" s="3">
        <v>44.044119999999999</v>
      </c>
      <c r="Q88" s="7">
        <f t="shared" si="28"/>
        <v>-4.9360855497793121E-3</v>
      </c>
      <c r="R88" s="3">
        <v>7.9</v>
      </c>
      <c r="S88" s="7">
        <f t="shared" si="29"/>
        <v>-6.2893081761006275E-3</v>
      </c>
      <c r="T88" s="3">
        <v>63.399127</v>
      </c>
      <c r="U88" s="7">
        <f t="shared" si="30"/>
        <v>-1.5634566185317444E-3</v>
      </c>
      <c r="V88" s="3">
        <v>47.588180999999999</v>
      </c>
      <c r="W88" s="7">
        <f t="shared" si="31"/>
        <v>1.864140640238654E-3</v>
      </c>
      <c r="X88" s="3">
        <v>167.15483800000001</v>
      </c>
      <c r="Y88" s="7">
        <f t="shared" si="32"/>
        <v>3.6415733714307841E-3</v>
      </c>
      <c r="Z88" s="3">
        <v>136.28111899999999</v>
      </c>
      <c r="AA88" s="7">
        <f t="shared" si="33"/>
        <v>4.6941493722290062E-3</v>
      </c>
      <c r="AB88" s="3">
        <v>8.5500000000000007</v>
      </c>
      <c r="AC88" s="7">
        <f t="shared" si="34"/>
        <v>-1.724137931034464E-2</v>
      </c>
      <c r="AD88" s="3">
        <v>72.747775000000004</v>
      </c>
      <c r="AE88" s="7">
        <f t="shared" si="35"/>
        <v>-1.3524357553496014E-4</v>
      </c>
      <c r="AF88" s="3">
        <v>73.159186000000005</v>
      </c>
      <c r="AG88" s="7">
        <f t="shared" si="36"/>
        <v>-2.4376054663644009E-3</v>
      </c>
      <c r="AH88" s="3">
        <v>13.290953999999999</v>
      </c>
      <c r="AI88" s="7">
        <f t="shared" si="37"/>
        <v>-3.3959588829217013E-2</v>
      </c>
      <c r="AJ88" s="3">
        <v>92.849053999999995</v>
      </c>
      <c r="AK88" s="7">
        <f t="shared" si="38"/>
        <v>-3.6911873908362924E-3</v>
      </c>
      <c r="AL88" s="3">
        <v>8.4700000000000006</v>
      </c>
      <c r="AM88" s="7">
        <f t="shared" si="39"/>
        <v>9.5351609058402786E-3</v>
      </c>
      <c r="AN88" s="3">
        <v>0.23</v>
      </c>
      <c r="AO88" s="7">
        <f t="shared" si="40"/>
        <v>0</v>
      </c>
      <c r="AP88" s="3">
        <v>8.7100000000000009</v>
      </c>
      <c r="AQ88" s="7">
        <f t="shared" si="41"/>
        <v>-7.9726651480636068E-3</v>
      </c>
    </row>
    <row r="89" spans="1:43" x14ac:dyDescent="0.3">
      <c r="A89" s="4">
        <v>42569</v>
      </c>
      <c r="B89" s="3">
        <v>18533.050781000002</v>
      </c>
      <c r="C89" s="7">
        <f t="shared" si="21"/>
        <v>8.9109468578407736E-4</v>
      </c>
      <c r="D89" s="3">
        <v>98.784932999999995</v>
      </c>
      <c r="E89" s="7">
        <f t="shared" si="22"/>
        <v>1.0629711999647462E-2</v>
      </c>
      <c r="F89" s="3">
        <v>97.790001000000004</v>
      </c>
      <c r="G89" s="7">
        <f t="shared" si="23"/>
        <v>-4.0888274744177444E-4</v>
      </c>
      <c r="H89" s="3">
        <v>53.625768000000001</v>
      </c>
      <c r="I89" s="7">
        <f t="shared" si="24"/>
        <v>4.8416841898553109E-3</v>
      </c>
      <c r="J89" s="3">
        <v>41.479309000000001</v>
      </c>
      <c r="K89" s="7">
        <f t="shared" si="25"/>
        <v>-3.1122977615701819E-3</v>
      </c>
      <c r="L89" s="3">
        <v>79.589995999999999</v>
      </c>
      <c r="M89" s="7">
        <f t="shared" si="26"/>
        <v>7.8510192750282926E-3</v>
      </c>
      <c r="N89" s="3">
        <v>14.044635</v>
      </c>
      <c r="O89" s="7">
        <f t="shared" si="27"/>
        <v>3.2942871516071559E-2</v>
      </c>
      <c r="P89" s="3">
        <v>44.262604000000003</v>
      </c>
      <c r="Q89" s="7">
        <f t="shared" si="28"/>
        <v>5.4138783746109365E-3</v>
      </c>
      <c r="R89" s="3">
        <v>7.95</v>
      </c>
      <c r="S89" s="7">
        <f t="shared" si="29"/>
        <v>6.3291139240506666E-3</v>
      </c>
      <c r="T89" s="3">
        <v>63.498404000000001</v>
      </c>
      <c r="U89" s="7">
        <f t="shared" si="30"/>
        <v>-3.4278861822635287E-3</v>
      </c>
      <c r="V89" s="3">
        <v>47.499634999999998</v>
      </c>
      <c r="W89" s="7">
        <f t="shared" si="31"/>
        <v>1.1947161294900921E-2</v>
      </c>
      <c r="X89" s="3">
        <v>166.54834</v>
      </c>
      <c r="Y89" s="7">
        <f t="shared" si="32"/>
        <v>6.610124934284034E-3</v>
      </c>
      <c r="Z89" s="3">
        <v>135.644384</v>
      </c>
      <c r="AA89" s="7">
        <f t="shared" si="33"/>
        <v>1.1574396647516361E-2</v>
      </c>
      <c r="AB89" s="3">
        <v>8.6999999999999993</v>
      </c>
      <c r="AC89" s="7">
        <f t="shared" si="34"/>
        <v>2.8368794326240954E-2</v>
      </c>
      <c r="AD89" s="3">
        <v>72.757615000000001</v>
      </c>
      <c r="AE89" s="7">
        <f t="shared" si="35"/>
        <v>1.259581894165418E-2</v>
      </c>
      <c r="AF89" s="3">
        <v>73.337954999999994</v>
      </c>
      <c r="AG89" s="7">
        <f t="shared" si="36"/>
        <v>2.3075583819089918E-3</v>
      </c>
      <c r="AH89" s="3">
        <v>13.758176000000001</v>
      </c>
      <c r="AI89" s="7">
        <f t="shared" si="37"/>
        <v>3.6704115786266867E-2</v>
      </c>
      <c r="AJ89" s="3">
        <v>93.193047000000007</v>
      </c>
      <c r="AK89" s="7">
        <f t="shared" si="38"/>
        <v>-3.1539375009185244E-3</v>
      </c>
      <c r="AL89" s="3">
        <v>8.39</v>
      </c>
      <c r="AM89" s="7">
        <f t="shared" si="39"/>
        <v>3.1980319803198043E-2</v>
      </c>
      <c r="AN89" s="3">
        <v>0.23</v>
      </c>
      <c r="AO89" s="7">
        <f t="shared" si="40"/>
        <v>0</v>
      </c>
      <c r="AP89" s="3">
        <v>8.7799999999999994</v>
      </c>
      <c r="AQ89" s="7">
        <f t="shared" si="41"/>
        <v>3.0516431924882514E-2</v>
      </c>
    </row>
    <row r="90" spans="1:43" x14ac:dyDescent="0.3">
      <c r="A90" s="4">
        <v>42566</v>
      </c>
      <c r="B90" s="3">
        <v>18516.550781000002</v>
      </c>
      <c r="C90" s="7">
        <f t="shared" si="21"/>
        <v>5.4795202929791564E-4</v>
      </c>
      <c r="D90" s="3">
        <v>97.745921999999993</v>
      </c>
      <c r="E90" s="7">
        <f t="shared" si="22"/>
        <v>-1.0124205496153671E-4</v>
      </c>
      <c r="F90" s="3">
        <v>97.830001999999993</v>
      </c>
      <c r="G90" s="7">
        <f t="shared" si="23"/>
        <v>1.3306551073895001E-3</v>
      </c>
      <c r="H90" s="3">
        <v>53.367379999999997</v>
      </c>
      <c r="I90" s="7">
        <f t="shared" si="24"/>
        <v>-7.4433877587110064E-4</v>
      </c>
      <c r="J90" s="3">
        <v>41.608808000000003</v>
      </c>
      <c r="K90" s="7">
        <f t="shared" si="25"/>
        <v>2.3998539889671378E-3</v>
      </c>
      <c r="L90" s="3">
        <v>78.970000999999996</v>
      </c>
      <c r="M90" s="7">
        <f t="shared" si="26"/>
        <v>-3.0298952535020574E-3</v>
      </c>
      <c r="N90" s="3">
        <v>13.596719999999999</v>
      </c>
      <c r="O90" s="7">
        <f t="shared" si="27"/>
        <v>7.3262467315604596E-4</v>
      </c>
      <c r="P90" s="3">
        <v>44.024262</v>
      </c>
      <c r="Q90" s="7">
        <f t="shared" si="28"/>
        <v>-2.699631449144424E-3</v>
      </c>
      <c r="R90" s="3">
        <v>7.9</v>
      </c>
      <c r="S90" s="7">
        <f t="shared" si="29"/>
        <v>-1.0025062656641603E-2</v>
      </c>
      <c r="T90" s="3">
        <v>63.716818000000004</v>
      </c>
      <c r="U90" s="7">
        <f t="shared" si="30"/>
        <v>9.3571426966865268E-4</v>
      </c>
      <c r="V90" s="3">
        <v>46.938848999999998</v>
      </c>
      <c r="W90" s="7">
        <f t="shared" si="31"/>
        <v>-2.5132792568530071E-2</v>
      </c>
      <c r="X90" s="3">
        <v>165.45466400000001</v>
      </c>
      <c r="Y90" s="7">
        <f t="shared" si="32"/>
        <v>-3.1747852563432932E-3</v>
      </c>
      <c r="Z90" s="3">
        <v>134.09234599999999</v>
      </c>
      <c r="AA90" s="7">
        <f t="shared" si="33"/>
        <v>1.7838972013930476E-3</v>
      </c>
      <c r="AB90" s="3">
        <v>8.4600000000000009</v>
      </c>
      <c r="AC90" s="7">
        <f t="shared" si="34"/>
        <v>-1.2835472578763052E-2</v>
      </c>
      <c r="AD90" s="3">
        <v>71.852573000000007</v>
      </c>
      <c r="AE90" s="7">
        <f t="shared" si="35"/>
        <v>-6.1232373566318943E-3</v>
      </c>
      <c r="AF90" s="3">
        <v>73.169112999999996</v>
      </c>
      <c r="AG90" s="7">
        <f t="shared" si="36"/>
        <v>-4.0704159138560403E-4</v>
      </c>
      <c r="AH90" s="3">
        <v>13.271072999999999</v>
      </c>
      <c r="AI90" s="7">
        <f t="shared" si="37"/>
        <v>8.308259359983472E-3</v>
      </c>
      <c r="AJ90" s="3">
        <v>93.487902000000005</v>
      </c>
      <c r="AK90" s="7">
        <f t="shared" si="38"/>
        <v>1.7904687372316541E-3</v>
      </c>
      <c r="AL90" s="3">
        <v>8.1300000000000008</v>
      </c>
      <c r="AM90" s="7">
        <f t="shared" si="39"/>
        <v>-9.74421437271622E-3</v>
      </c>
      <c r="AN90" s="3">
        <v>0.23</v>
      </c>
      <c r="AO90" s="7">
        <f t="shared" si="40"/>
        <v>-4.166666666666663E-2</v>
      </c>
      <c r="AP90" s="3">
        <v>8.52</v>
      </c>
      <c r="AQ90" s="7">
        <f t="shared" si="41"/>
        <v>-1.5028901734104094E-2</v>
      </c>
    </row>
    <row r="91" spans="1:43" x14ac:dyDescent="0.3">
      <c r="A91" s="4">
        <v>42565</v>
      </c>
      <c r="B91" s="3">
        <v>18506.410156000002</v>
      </c>
      <c r="C91" s="7">
        <f t="shared" si="21"/>
        <v>7.3095005518613032E-3</v>
      </c>
      <c r="D91" s="3">
        <v>97.755819000000002</v>
      </c>
      <c r="E91" s="7">
        <f t="shared" si="22"/>
        <v>1.9820351003669412E-2</v>
      </c>
      <c r="F91" s="3">
        <v>97.699996999999996</v>
      </c>
      <c r="G91" s="7">
        <f t="shared" si="23"/>
        <v>3.6983872487523772E-3</v>
      </c>
      <c r="H91" s="3">
        <v>53.407133000000002</v>
      </c>
      <c r="I91" s="7">
        <f t="shared" si="24"/>
        <v>4.2983304886403673E-3</v>
      </c>
      <c r="J91" s="3">
        <v>41.509191999999999</v>
      </c>
      <c r="K91" s="7">
        <f t="shared" si="25"/>
        <v>5.0651085909123594E-3</v>
      </c>
      <c r="L91" s="3">
        <v>79.209998999999996</v>
      </c>
      <c r="M91" s="7">
        <f t="shared" si="26"/>
        <v>1.4342464558456225E-2</v>
      </c>
      <c r="N91" s="3">
        <v>13.586766000000001</v>
      </c>
      <c r="O91" s="7">
        <f t="shared" si="27"/>
        <v>1.5624987152163872E-2</v>
      </c>
      <c r="P91" s="3">
        <v>44.143433000000002</v>
      </c>
      <c r="Q91" s="7">
        <f t="shared" si="28"/>
        <v>2.5848106949664107E-2</v>
      </c>
      <c r="R91" s="3">
        <v>7.98</v>
      </c>
      <c r="S91" s="7">
        <f t="shared" si="29"/>
        <v>1.2690355329949332E-2</v>
      </c>
      <c r="T91" s="3">
        <v>63.657252999999997</v>
      </c>
      <c r="U91" s="7">
        <f t="shared" si="30"/>
        <v>1.5199529205222495E-2</v>
      </c>
      <c r="V91" s="3">
        <v>48.148966999999999</v>
      </c>
      <c r="W91" s="7">
        <f t="shared" si="31"/>
        <v>1.3880223285009485E-2</v>
      </c>
      <c r="X91" s="3">
        <v>165.98161999999999</v>
      </c>
      <c r="Y91" s="7">
        <f t="shared" si="32"/>
        <v>9.5936900253046353E-4</v>
      </c>
      <c r="Z91" s="3">
        <v>133.853565</v>
      </c>
      <c r="AA91" s="7">
        <f t="shared" si="33"/>
        <v>7.3374962368837338E-3</v>
      </c>
      <c r="AB91" s="3">
        <v>8.57</v>
      </c>
      <c r="AC91" s="7">
        <f t="shared" si="34"/>
        <v>9.4228504122497725E-3</v>
      </c>
      <c r="AD91" s="3">
        <v>72.295254</v>
      </c>
      <c r="AE91" s="7">
        <f t="shared" si="35"/>
        <v>4.3733676211585859E-3</v>
      </c>
      <c r="AF91" s="3">
        <v>73.198908000000003</v>
      </c>
      <c r="AG91" s="7">
        <f t="shared" si="36"/>
        <v>1.0865917672229219E-3</v>
      </c>
      <c r="AH91" s="3">
        <v>13.161721999999999</v>
      </c>
      <c r="AI91" s="7">
        <f t="shared" si="37"/>
        <v>2.081721548966553E-2</v>
      </c>
      <c r="AJ91" s="3">
        <v>93.320813999999999</v>
      </c>
      <c r="AK91" s="7">
        <f t="shared" si="38"/>
        <v>7.3777494245019781E-4</v>
      </c>
      <c r="AL91" s="3">
        <v>8.2100000000000009</v>
      </c>
      <c r="AM91" s="7">
        <f t="shared" si="39"/>
        <v>3.6616161616161769E-2</v>
      </c>
      <c r="AN91" s="3">
        <v>0.24</v>
      </c>
      <c r="AO91" s="7">
        <f t="shared" si="40"/>
        <v>-4.0000000000000036E-2</v>
      </c>
      <c r="AP91" s="3">
        <v>8.65</v>
      </c>
      <c r="AQ91" s="7">
        <f t="shared" si="41"/>
        <v>4.6457607433219028E-3</v>
      </c>
    </row>
    <row r="92" spans="1:43" x14ac:dyDescent="0.3">
      <c r="A92" s="4">
        <v>42564</v>
      </c>
      <c r="B92" s="3">
        <v>18372.119140999999</v>
      </c>
      <c r="C92" s="7">
        <f t="shared" si="21"/>
        <v>1.3325517138653709E-3</v>
      </c>
      <c r="D92" s="3">
        <v>95.855920999999995</v>
      </c>
      <c r="E92" s="7">
        <f t="shared" si="22"/>
        <v>-5.6456130948913108E-3</v>
      </c>
      <c r="F92" s="3">
        <v>97.339995999999999</v>
      </c>
      <c r="G92" s="7">
        <f t="shared" si="23"/>
        <v>-2.0504920847806973E-3</v>
      </c>
      <c r="H92" s="3">
        <v>53.178553999999998</v>
      </c>
      <c r="I92" s="7">
        <f t="shared" si="24"/>
        <v>5.6380232885095971E-3</v>
      </c>
      <c r="J92" s="3">
        <v>41.300002999999997</v>
      </c>
      <c r="K92" s="7">
        <f t="shared" si="25"/>
        <v>9.6572584539611483E-4</v>
      </c>
      <c r="L92" s="3">
        <v>78.089995999999999</v>
      </c>
      <c r="M92" s="7">
        <f t="shared" si="26"/>
        <v>-2.8093730764747749E-3</v>
      </c>
      <c r="N92" s="3">
        <v>13.377739</v>
      </c>
      <c r="O92" s="7">
        <f t="shared" si="27"/>
        <v>-7.3855428945730495E-3</v>
      </c>
      <c r="P92" s="3">
        <v>43.031159000000002</v>
      </c>
      <c r="Q92" s="7">
        <f t="shared" si="28"/>
        <v>-2.5321510138165415E-3</v>
      </c>
      <c r="R92" s="3">
        <v>7.88</v>
      </c>
      <c r="S92" s="7">
        <f t="shared" si="29"/>
        <v>-8.8050314465408785E-3</v>
      </c>
      <c r="T92" s="3">
        <v>62.704179000000003</v>
      </c>
      <c r="U92" s="7">
        <f t="shared" si="30"/>
        <v>-6.3292217564248077E-4</v>
      </c>
      <c r="V92" s="3">
        <v>47.489798</v>
      </c>
      <c r="W92" s="7">
        <f t="shared" si="31"/>
        <v>-1.6545612124896358E-3</v>
      </c>
      <c r="X92" s="3">
        <v>165.82253499999999</v>
      </c>
      <c r="Y92" s="7">
        <f t="shared" si="32"/>
        <v>3.0069788729687463E-3</v>
      </c>
      <c r="Z92" s="3">
        <v>132.878569</v>
      </c>
      <c r="AA92" s="7">
        <f t="shared" si="33"/>
        <v>-9.4927294358361225E-3</v>
      </c>
      <c r="AB92" s="3">
        <v>8.49</v>
      </c>
      <c r="AC92" s="7">
        <f t="shared" si="34"/>
        <v>-8.1775700934579865E-3</v>
      </c>
      <c r="AD92" s="3">
        <v>71.980457000000001</v>
      </c>
      <c r="AE92" s="7">
        <f t="shared" si="35"/>
        <v>-4.7605823537760772E-3</v>
      </c>
      <c r="AF92" s="3">
        <v>73.119456999999997</v>
      </c>
      <c r="AG92" s="7">
        <f t="shared" si="36"/>
        <v>4.7769307879581557E-3</v>
      </c>
      <c r="AH92" s="3">
        <v>12.893319</v>
      </c>
      <c r="AI92" s="7">
        <f t="shared" si="37"/>
        <v>-4.6323577000642491E-2</v>
      </c>
      <c r="AJ92" s="3">
        <v>93.252015</v>
      </c>
      <c r="AK92" s="7">
        <f t="shared" si="38"/>
        <v>-7.3723103186817962E-4</v>
      </c>
      <c r="AL92" s="3">
        <v>7.92</v>
      </c>
      <c r="AM92" s="7">
        <f t="shared" si="39"/>
        <v>-1.980198019801982E-2</v>
      </c>
      <c r="AN92" s="3">
        <v>0.25</v>
      </c>
      <c r="AO92" s="7">
        <f t="shared" si="40"/>
        <v>-3.8461538461538547E-2</v>
      </c>
      <c r="AP92" s="3">
        <v>8.61</v>
      </c>
      <c r="AQ92" s="7">
        <f t="shared" si="41"/>
        <v>-2.1590909090909216E-2</v>
      </c>
    </row>
    <row r="93" spans="1:43" x14ac:dyDescent="0.3">
      <c r="A93" s="4">
        <v>42563</v>
      </c>
      <c r="B93" s="3">
        <v>18347.669922000001</v>
      </c>
      <c r="C93" s="7">
        <f t="shared" si="21"/>
        <v>6.6242771584010818E-3</v>
      </c>
      <c r="D93" s="3">
        <v>96.400159000000002</v>
      </c>
      <c r="E93" s="7">
        <f t="shared" si="22"/>
        <v>4.5369670557227071E-3</v>
      </c>
      <c r="F93" s="3">
        <v>97.540001000000004</v>
      </c>
      <c r="G93" s="7">
        <f t="shared" si="23"/>
        <v>4.1177888008832042E-3</v>
      </c>
      <c r="H93" s="3">
        <v>52.880412999999997</v>
      </c>
      <c r="I93" s="7">
        <f t="shared" si="24"/>
        <v>1.1789281220979886E-2</v>
      </c>
      <c r="J93" s="3">
        <v>41.260157</v>
      </c>
      <c r="K93" s="7">
        <f t="shared" si="25"/>
        <v>1.5693962874434364E-2</v>
      </c>
      <c r="L93" s="3">
        <v>78.309997999999993</v>
      </c>
      <c r="M93" s="7">
        <f t="shared" si="26"/>
        <v>3.7170086022944027E-3</v>
      </c>
      <c r="N93" s="3">
        <v>13.477276</v>
      </c>
      <c r="O93" s="7">
        <f t="shared" si="27"/>
        <v>2.4981053411317733E-2</v>
      </c>
      <c r="P93" s="3">
        <v>43.140397</v>
      </c>
      <c r="Q93" s="7">
        <f t="shared" si="28"/>
        <v>2.7193152680118349E-2</v>
      </c>
      <c r="R93" s="3">
        <v>7.95</v>
      </c>
      <c r="S93" s="7">
        <f t="shared" si="29"/>
        <v>4.8812664907651682E-2</v>
      </c>
      <c r="T93" s="3">
        <v>62.743890999999998</v>
      </c>
      <c r="U93" s="7">
        <f t="shared" si="30"/>
        <v>1.4934972648761979E-2</v>
      </c>
      <c r="V93" s="3">
        <v>47.568503</v>
      </c>
      <c r="W93" s="7">
        <f t="shared" si="31"/>
        <v>5.6155576687935138E-3</v>
      </c>
      <c r="X93" s="3">
        <v>165.32540499999999</v>
      </c>
      <c r="Y93" s="7">
        <f t="shared" si="32"/>
        <v>-2.6391734670733191E-3</v>
      </c>
      <c r="Z93" s="3">
        <v>134.152038</v>
      </c>
      <c r="AA93" s="7">
        <f t="shared" si="33"/>
        <v>-2.2937227498407431E-3</v>
      </c>
      <c r="AB93" s="3">
        <v>8.56</v>
      </c>
      <c r="AC93" s="7">
        <f t="shared" si="34"/>
        <v>-1.3824884792626668E-2</v>
      </c>
      <c r="AD93" s="3">
        <v>72.324764999999999</v>
      </c>
      <c r="AE93" s="7">
        <f t="shared" si="35"/>
        <v>1.350971855630001E-2</v>
      </c>
      <c r="AF93" s="3">
        <v>72.771831000000006</v>
      </c>
      <c r="AG93" s="7">
        <f t="shared" si="36"/>
        <v>-1.066704391882034E-2</v>
      </c>
      <c r="AH93" s="3">
        <v>13.519595000000001</v>
      </c>
      <c r="AI93" s="7">
        <f t="shared" si="37"/>
        <v>0.1074919487346937</v>
      </c>
      <c r="AJ93" s="3">
        <v>93.320813999999999</v>
      </c>
      <c r="AK93" s="7">
        <f t="shared" si="38"/>
        <v>1.1289783751892157E-2</v>
      </c>
      <c r="AL93" s="3">
        <v>8.08</v>
      </c>
      <c r="AM93" s="7">
        <f t="shared" si="39"/>
        <v>3.9897039897039965E-2</v>
      </c>
      <c r="AN93" s="3">
        <v>0.26</v>
      </c>
      <c r="AO93" s="7">
        <f t="shared" si="40"/>
        <v>0.13043478260869557</v>
      </c>
      <c r="AP93" s="3">
        <v>8.8000000000000007</v>
      </c>
      <c r="AQ93" s="7">
        <f t="shared" si="41"/>
        <v>0.1253196930946292</v>
      </c>
    </row>
    <row r="94" spans="1:43" x14ac:dyDescent="0.3">
      <c r="A94" s="4">
        <v>42562</v>
      </c>
      <c r="B94" s="3">
        <v>18226.929688</v>
      </c>
      <c r="C94" s="7">
        <f t="shared" si="21"/>
        <v>4.418945384458306E-3</v>
      </c>
      <c r="D94" s="3">
        <v>95.964770000000001</v>
      </c>
      <c r="E94" s="7">
        <f t="shared" si="22"/>
        <v>3.1030573293509001E-3</v>
      </c>
      <c r="F94" s="3">
        <v>97.139999000000003</v>
      </c>
      <c r="G94" s="7">
        <f t="shared" si="23"/>
        <v>3.6160553402617701E-3</v>
      </c>
      <c r="H94" s="3">
        <v>52.264254999999999</v>
      </c>
      <c r="I94" s="7">
        <f t="shared" si="24"/>
        <v>5.5449577257216109E-3</v>
      </c>
      <c r="J94" s="3">
        <v>40.622627000000001</v>
      </c>
      <c r="K94" s="7">
        <f t="shared" si="25"/>
        <v>-2.2021119917626786E-3</v>
      </c>
      <c r="L94" s="3">
        <v>78.019997000000004</v>
      </c>
      <c r="M94" s="7">
        <f t="shared" si="26"/>
        <v>1.8537846437019612E-2</v>
      </c>
      <c r="N94" s="3">
        <v>13.148804999999999</v>
      </c>
      <c r="O94" s="7">
        <f t="shared" si="27"/>
        <v>3.0372286499569245E-3</v>
      </c>
      <c r="P94" s="3">
        <v>41.998330000000003</v>
      </c>
      <c r="Q94" s="7">
        <f t="shared" si="28"/>
        <v>7.3844939179981139E-3</v>
      </c>
      <c r="R94" s="3">
        <v>7.58</v>
      </c>
      <c r="S94" s="7">
        <f t="shared" si="29"/>
        <v>2.4324324324324298E-2</v>
      </c>
      <c r="T94" s="3">
        <v>61.820602000000001</v>
      </c>
      <c r="U94" s="7">
        <f t="shared" si="30"/>
        <v>7.1162611216881722E-3</v>
      </c>
      <c r="V94" s="3">
        <v>47.302871000000003</v>
      </c>
      <c r="W94" s="7">
        <f t="shared" si="31"/>
        <v>6.0682438264498817E-3</v>
      </c>
      <c r="X94" s="3">
        <v>165.76288199999999</v>
      </c>
      <c r="Y94" s="7">
        <f t="shared" si="32"/>
        <v>7.7369397092037495E-3</v>
      </c>
      <c r="Z94" s="3">
        <v>134.460453</v>
      </c>
      <c r="AA94" s="7">
        <f t="shared" si="33"/>
        <v>6.0294525315551795E-3</v>
      </c>
      <c r="AB94" s="3">
        <v>8.68</v>
      </c>
      <c r="AC94" s="7">
        <f t="shared" si="34"/>
        <v>2.2379269729092988E-2</v>
      </c>
      <c r="AD94" s="3">
        <v>71.360702000000003</v>
      </c>
      <c r="AE94" s="7">
        <f t="shared" si="35"/>
        <v>1.724868157043935E-2</v>
      </c>
      <c r="AF94" s="3">
        <v>73.556460999999999</v>
      </c>
      <c r="AG94" s="7">
        <f t="shared" si="36"/>
        <v>2.9794395003241991E-3</v>
      </c>
      <c r="AH94" s="3">
        <v>12.207398</v>
      </c>
      <c r="AI94" s="7">
        <f t="shared" si="37"/>
        <v>-1.626036207562187E-3</v>
      </c>
      <c r="AJ94" s="3">
        <v>92.279004</v>
      </c>
      <c r="AK94" s="7">
        <f t="shared" si="38"/>
        <v>3.7416974910677858E-3</v>
      </c>
      <c r="AL94" s="3">
        <v>7.77</v>
      </c>
      <c r="AM94" s="7">
        <f t="shared" si="39"/>
        <v>4.016064257028118E-2</v>
      </c>
      <c r="AN94" s="3">
        <v>0.23</v>
      </c>
      <c r="AO94" s="7">
        <f t="shared" si="40"/>
        <v>4.5454545454545414E-2</v>
      </c>
      <c r="AP94" s="3">
        <v>7.82</v>
      </c>
      <c r="AQ94" s="7">
        <f t="shared" si="41"/>
        <v>-3.8130381303813077E-2</v>
      </c>
    </row>
    <row r="95" spans="1:43" x14ac:dyDescent="0.3">
      <c r="A95" s="4">
        <v>42559</v>
      </c>
      <c r="B95" s="3">
        <v>18146.740234000001</v>
      </c>
      <c r="C95" s="7">
        <f t="shared" si="21"/>
        <v>1.4017715974782075E-2</v>
      </c>
      <c r="D95" s="3">
        <v>95.667907</v>
      </c>
      <c r="E95" s="7">
        <f t="shared" si="22"/>
        <v>7.7131294063002009E-3</v>
      </c>
      <c r="F95" s="3">
        <v>96.790001000000004</v>
      </c>
      <c r="G95" s="7">
        <f t="shared" si="23"/>
        <v>1.7342884352983923E-2</v>
      </c>
      <c r="H95" s="3">
        <v>51.976050000000001</v>
      </c>
      <c r="I95" s="7">
        <f t="shared" si="24"/>
        <v>1.7905751018996607E-2</v>
      </c>
      <c r="J95" s="3">
        <v>40.71228</v>
      </c>
      <c r="K95" s="7">
        <f t="shared" si="25"/>
        <v>8.3888498204469641E-3</v>
      </c>
      <c r="L95" s="3">
        <v>76.599997999999999</v>
      </c>
      <c r="M95" s="7">
        <f t="shared" si="26"/>
        <v>2.69473402304512E-2</v>
      </c>
      <c r="N95" s="3">
        <v>13.10899</v>
      </c>
      <c r="O95" s="7">
        <f t="shared" si="27"/>
        <v>1.2298169568296879E-2</v>
      </c>
      <c r="P95" s="3">
        <v>41.690466999999998</v>
      </c>
      <c r="Q95" s="7">
        <f t="shared" si="28"/>
        <v>1.6711040277864964E-2</v>
      </c>
      <c r="R95" s="3">
        <v>7.4</v>
      </c>
      <c r="S95" s="7">
        <f t="shared" si="29"/>
        <v>2.3513139695712226E-2</v>
      </c>
      <c r="T95" s="3">
        <v>61.383778999999997</v>
      </c>
      <c r="U95" s="7">
        <f t="shared" si="30"/>
        <v>2.0633874711519784E-2</v>
      </c>
      <c r="V95" s="3">
        <v>47.017556999999996</v>
      </c>
      <c r="W95" s="7">
        <f t="shared" si="31"/>
        <v>2.1153882615975839E-2</v>
      </c>
      <c r="X95" s="3">
        <v>164.49023099999999</v>
      </c>
      <c r="Y95" s="7">
        <f t="shared" si="32"/>
        <v>1.0629231474043044E-2</v>
      </c>
      <c r="Z95" s="3">
        <v>133.65458899999999</v>
      </c>
      <c r="AA95" s="7">
        <f t="shared" si="33"/>
        <v>2.4245146133651252E-2</v>
      </c>
      <c r="AB95" s="3">
        <v>8.49</v>
      </c>
      <c r="AC95" s="7">
        <f t="shared" si="34"/>
        <v>2.3612750885477762E-3</v>
      </c>
      <c r="AD95" s="3">
        <v>70.150694999999999</v>
      </c>
      <c r="AE95" s="7">
        <f t="shared" si="35"/>
        <v>1.7406219389737299E-2</v>
      </c>
      <c r="AF95" s="3">
        <v>73.337954999999994</v>
      </c>
      <c r="AG95" s="7">
        <f t="shared" si="36"/>
        <v>4.2159349029744497E-3</v>
      </c>
      <c r="AH95" s="3">
        <v>12.22728</v>
      </c>
      <c r="AI95" s="7">
        <f t="shared" si="37"/>
        <v>6.3094200144049761E-2</v>
      </c>
      <c r="AJ95" s="3">
        <v>91.935011000000003</v>
      </c>
      <c r="AK95" s="7">
        <f t="shared" si="38"/>
        <v>6.2392627738330209E-3</v>
      </c>
      <c r="AL95" s="3">
        <v>7.47</v>
      </c>
      <c r="AM95" s="7">
        <f t="shared" si="39"/>
        <v>4.9157303370786387E-2</v>
      </c>
      <c r="AN95" s="3">
        <v>0.22</v>
      </c>
      <c r="AO95" s="7">
        <f t="shared" si="40"/>
        <v>-8.3333333333333259E-2</v>
      </c>
      <c r="AP95" s="3">
        <v>8.1300000000000008</v>
      </c>
      <c r="AQ95" s="7">
        <f t="shared" si="41"/>
        <v>1.7521902377972465E-2</v>
      </c>
    </row>
    <row r="96" spans="1:43" x14ac:dyDescent="0.3">
      <c r="A96" s="4">
        <v>42558</v>
      </c>
      <c r="B96" s="3">
        <v>17895.880859000001</v>
      </c>
      <c r="C96" s="7">
        <f t="shared" si="21"/>
        <v>-1.2689751269935323E-3</v>
      </c>
      <c r="D96" s="3">
        <v>94.935655999999994</v>
      </c>
      <c r="E96" s="7">
        <f t="shared" si="22"/>
        <v>4.2918780921747945E-3</v>
      </c>
      <c r="F96" s="3">
        <v>95.139999000000003</v>
      </c>
      <c r="G96" s="7">
        <f t="shared" si="23"/>
        <v>-4.2026686278628933E-4</v>
      </c>
      <c r="H96" s="3">
        <v>51.061751000000001</v>
      </c>
      <c r="I96" s="7">
        <f t="shared" si="24"/>
        <v>0</v>
      </c>
      <c r="J96" s="3">
        <v>40.373592000000002</v>
      </c>
      <c r="K96" s="7">
        <f t="shared" si="25"/>
        <v>0</v>
      </c>
      <c r="L96" s="3">
        <v>74.589995999999999</v>
      </c>
      <c r="M96" s="7">
        <f t="shared" si="26"/>
        <v>-1.6062508580678703E-3</v>
      </c>
      <c r="N96" s="3">
        <v>12.949731999999999</v>
      </c>
      <c r="O96" s="7">
        <f t="shared" si="27"/>
        <v>1.1664143052738885E-2</v>
      </c>
      <c r="P96" s="3">
        <v>41.005226999999998</v>
      </c>
      <c r="Q96" s="7">
        <f t="shared" si="28"/>
        <v>5.6015411110832414E-3</v>
      </c>
      <c r="R96" s="3">
        <v>7.23</v>
      </c>
      <c r="S96" s="7">
        <f t="shared" si="29"/>
        <v>4.1666666666666519E-3</v>
      </c>
      <c r="T96" s="3">
        <v>60.142800000000001</v>
      </c>
      <c r="U96" s="7">
        <f t="shared" si="30"/>
        <v>6.4795253038325562E-3</v>
      </c>
      <c r="V96" s="3">
        <v>46.043557</v>
      </c>
      <c r="W96" s="7">
        <f t="shared" si="31"/>
        <v>3.215379367397464E-3</v>
      </c>
      <c r="X96" s="3">
        <v>162.76021499999999</v>
      </c>
      <c r="Y96" s="7">
        <f t="shared" si="32"/>
        <v>4.929172901851242E-2</v>
      </c>
      <c r="Z96" s="3">
        <v>130.49082000000001</v>
      </c>
      <c r="AA96" s="7">
        <f t="shared" si="33"/>
        <v>-3.1162410343286151E-3</v>
      </c>
      <c r="AB96" s="3">
        <v>8.4700000000000006</v>
      </c>
      <c r="AC96" s="7">
        <f t="shared" si="34"/>
        <v>-8.1967213114751969E-3</v>
      </c>
      <c r="AD96" s="3">
        <v>68.950526999999994</v>
      </c>
      <c r="AE96" s="7">
        <f t="shared" si="35"/>
        <v>-5.9566887322411999E-3</v>
      </c>
      <c r="AF96" s="3">
        <v>73.030064999999993</v>
      </c>
      <c r="AG96" s="7">
        <f t="shared" si="36"/>
        <v>-3.9284845566226467E-3</v>
      </c>
      <c r="AH96" s="3">
        <v>11.501595999999999</v>
      </c>
      <c r="AI96" s="7">
        <f t="shared" si="37"/>
        <v>3.4692534317375401E-3</v>
      </c>
      <c r="AJ96" s="3">
        <v>91.364960999999994</v>
      </c>
      <c r="AK96" s="7">
        <f t="shared" si="38"/>
        <v>-1.2009744973831893E-2</v>
      </c>
      <c r="AL96" s="3">
        <v>7.12</v>
      </c>
      <c r="AM96" s="7">
        <f t="shared" si="39"/>
        <v>1.7142857142857126E-2</v>
      </c>
      <c r="AN96" s="3">
        <v>0.24</v>
      </c>
      <c r="AO96" s="7">
        <f t="shared" si="40"/>
        <v>-4.0000000000000036E-2</v>
      </c>
      <c r="AP96" s="3">
        <v>7.99</v>
      </c>
      <c r="AQ96" s="7">
        <f t="shared" si="41"/>
        <v>-5.3317535545023609E-2</v>
      </c>
    </row>
    <row r="97" spans="1:43" x14ac:dyDescent="0.3">
      <c r="A97" s="4">
        <v>42557</v>
      </c>
      <c r="B97" s="3">
        <v>17918.619140999999</v>
      </c>
      <c r="C97" s="7">
        <f t="shared" si="21"/>
        <v>4.3720455766440569E-3</v>
      </c>
      <c r="D97" s="3">
        <v>94.529944999999998</v>
      </c>
      <c r="E97" s="7">
        <f t="shared" si="22"/>
        <v>5.6848194708523092E-3</v>
      </c>
      <c r="F97" s="3">
        <v>95.18</v>
      </c>
      <c r="G97" s="7">
        <f t="shared" si="23"/>
        <v>4.7503112609423859E-3</v>
      </c>
      <c r="H97" s="3">
        <v>51.061751000000001</v>
      </c>
      <c r="I97" s="7">
        <f t="shared" si="24"/>
        <v>4.1040411186366033E-3</v>
      </c>
      <c r="J97" s="3">
        <v>40.373592000000002</v>
      </c>
      <c r="K97" s="7">
        <f t="shared" si="25"/>
        <v>3.2177639174701955E-3</v>
      </c>
      <c r="L97" s="3">
        <v>74.709998999999996</v>
      </c>
      <c r="M97" s="7">
        <f t="shared" si="26"/>
        <v>7.4163291576951895E-3</v>
      </c>
      <c r="N97" s="3">
        <v>12.800426</v>
      </c>
      <c r="O97" s="7">
        <f t="shared" si="27"/>
        <v>9.4191443533315766E-3</v>
      </c>
      <c r="P97" s="3">
        <v>40.776814000000002</v>
      </c>
      <c r="Q97" s="7">
        <f t="shared" si="28"/>
        <v>6.866163722661911E-3</v>
      </c>
      <c r="R97" s="3">
        <v>7.2</v>
      </c>
      <c r="S97" s="7">
        <f t="shared" si="29"/>
        <v>-6.8965517241379448E-3</v>
      </c>
      <c r="T97" s="3">
        <v>59.755611999999999</v>
      </c>
      <c r="U97" s="7">
        <f t="shared" si="30"/>
        <v>1.0747268561924317E-2</v>
      </c>
      <c r="V97" s="3">
        <v>45.895983999999999</v>
      </c>
      <c r="W97" s="7">
        <f t="shared" si="31"/>
        <v>9.5218114614419314E-3</v>
      </c>
      <c r="X97" s="3">
        <v>155.11436</v>
      </c>
      <c r="Y97" s="7">
        <f t="shared" si="32"/>
        <v>4.8952981784093907E-3</v>
      </c>
      <c r="Z97" s="3">
        <v>130.898732</v>
      </c>
      <c r="AA97" s="7">
        <f t="shared" si="33"/>
        <v>1.7162747857046856E-2</v>
      </c>
      <c r="AB97" s="3">
        <v>8.5399999999999991</v>
      </c>
      <c r="AC97" s="7">
        <f t="shared" si="34"/>
        <v>-1.3856812933025542E-2</v>
      </c>
      <c r="AD97" s="3">
        <v>69.363704999999996</v>
      </c>
      <c r="AE97" s="7">
        <f t="shared" si="35"/>
        <v>1.1041069031948902E-2</v>
      </c>
      <c r="AF97" s="3">
        <v>73.318094000000002</v>
      </c>
      <c r="AG97" s="7">
        <f t="shared" si="36"/>
        <v>9.297243108349118E-3</v>
      </c>
      <c r="AH97" s="3">
        <v>11.461831999999999</v>
      </c>
      <c r="AI97" s="7">
        <f t="shared" si="37"/>
        <v>8.6797884576617079E-4</v>
      </c>
      <c r="AJ97" s="3">
        <v>92.475568999999993</v>
      </c>
      <c r="AK97" s="7">
        <f t="shared" si="38"/>
        <v>1.1502896577546995E-2</v>
      </c>
      <c r="AL97" s="3">
        <v>7</v>
      </c>
      <c r="AM97" s="7">
        <f t="shared" si="39"/>
        <v>1.744186046511631E-2</v>
      </c>
      <c r="AN97" s="3">
        <v>0.25</v>
      </c>
      <c r="AO97" s="7">
        <f t="shared" si="40"/>
        <v>4.1666666666666741E-2</v>
      </c>
      <c r="AP97" s="3">
        <v>8.44</v>
      </c>
      <c r="AQ97" s="7">
        <f t="shared" si="41"/>
        <v>0</v>
      </c>
    </row>
    <row r="98" spans="1:43" x14ac:dyDescent="0.3">
      <c r="A98" s="4">
        <v>42556</v>
      </c>
      <c r="B98" s="3">
        <v>17840.619140999999</v>
      </c>
      <c r="C98" s="7">
        <f t="shared" si="21"/>
        <v>-6.0587087571558618E-3</v>
      </c>
      <c r="D98" s="3">
        <v>93.995597000000004</v>
      </c>
      <c r="E98" s="7">
        <f t="shared" si="22"/>
        <v>-9.38577175472044E-3</v>
      </c>
      <c r="F98" s="3">
        <v>94.730002999999996</v>
      </c>
      <c r="G98" s="7">
        <f t="shared" si="23"/>
        <v>-6.1896454049517047E-3</v>
      </c>
      <c r="H98" s="3">
        <v>50.853048000000001</v>
      </c>
      <c r="I98" s="7">
        <f t="shared" si="24"/>
        <v>1.9542470177680293E-4</v>
      </c>
      <c r="J98" s="3">
        <v>40.244095999999999</v>
      </c>
      <c r="K98" s="7">
        <f t="shared" si="25"/>
        <v>-1.125793320872126E-2</v>
      </c>
      <c r="L98" s="3">
        <v>74.160004000000001</v>
      </c>
      <c r="M98" s="7">
        <f t="shared" si="26"/>
        <v>-1.0804281568570273E-2</v>
      </c>
      <c r="N98" s="3">
        <v>12.680982</v>
      </c>
      <c r="O98" s="7">
        <f t="shared" si="27"/>
        <v>-2.748096813367884E-2</v>
      </c>
      <c r="P98" s="3">
        <v>40.498742999999997</v>
      </c>
      <c r="Q98" s="7">
        <f t="shared" si="28"/>
        <v>-3.2961792089644559E-2</v>
      </c>
      <c r="R98" s="3">
        <v>7.25</v>
      </c>
      <c r="S98" s="7">
        <f t="shared" si="29"/>
        <v>2.7662517289073207E-3</v>
      </c>
      <c r="T98" s="3">
        <v>59.120230999999997</v>
      </c>
      <c r="U98" s="7">
        <f t="shared" si="30"/>
        <v>-2.7913793587935998E-2</v>
      </c>
      <c r="V98" s="3">
        <v>45.463093000000001</v>
      </c>
      <c r="W98" s="7">
        <f t="shared" si="31"/>
        <v>-1.7435677699245922E-2</v>
      </c>
      <c r="X98" s="3">
        <v>154.35872800000001</v>
      </c>
      <c r="Y98" s="7">
        <f t="shared" si="32"/>
        <v>-5.5089434320372277E-3</v>
      </c>
      <c r="Z98" s="3">
        <v>128.690057</v>
      </c>
      <c r="AA98" s="7">
        <f t="shared" si="33"/>
        <v>-2.0829309272724084E-3</v>
      </c>
      <c r="AB98" s="3">
        <v>8.66</v>
      </c>
      <c r="AC98" s="7">
        <f t="shared" si="34"/>
        <v>-3.023516237402013E-2</v>
      </c>
      <c r="AD98" s="3">
        <v>68.606218999999996</v>
      </c>
      <c r="AE98" s="7">
        <f t="shared" si="35"/>
        <v>-4.4254790339984806E-3</v>
      </c>
      <c r="AF98" s="3">
        <v>72.642717000000005</v>
      </c>
      <c r="AG98" s="7">
        <f t="shared" si="36"/>
        <v>4.5323679157447394E-3</v>
      </c>
      <c r="AH98" s="3">
        <v>11.451892000000001</v>
      </c>
      <c r="AI98" s="7">
        <f t="shared" si="37"/>
        <v>-5.4187193745617424E-2</v>
      </c>
      <c r="AJ98" s="3">
        <v>91.423929000000001</v>
      </c>
      <c r="AK98" s="7">
        <f t="shared" si="38"/>
        <v>-8.7382763970180743E-3</v>
      </c>
      <c r="AL98" s="3">
        <v>6.88</v>
      </c>
      <c r="AM98" s="7">
        <f t="shared" si="39"/>
        <v>-7.8982597054886194E-2</v>
      </c>
      <c r="AN98" s="3">
        <v>0.24</v>
      </c>
      <c r="AO98" s="7">
        <f t="shared" si="40"/>
        <v>-4.0000000000000036E-2</v>
      </c>
      <c r="AP98" s="3">
        <v>8.44</v>
      </c>
      <c r="AQ98" s="7">
        <f t="shared" si="41"/>
        <v>-0.1262939958592133</v>
      </c>
    </row>
    <row r="99" spans="1:43" x14ac:dyDescent="0.3">
      <c r="A99" s="4">
        <v>42552</v>
      </c>
      <c r="B99" s="3">
        <v>17949.369140999999</v>
      </c>
      <c r="C99" s="7">
        <f t="shared" si="21"/>
        <v>1.0808096795975608E-3</v>
      </c>
      <c r="D99" s="3">
        <v>94.886177000000004</v>
      </c>
      <c r="E99" s="7">
        <f t="shared" si="22"/>
        <v>3.033481927946724E-3</v>
      </c>
      <c r="F99" s="3">
        <v>95.32</v>
      </c>
      <c r="G99" s="7">
        <f t="shared" si="23"/>
        <v>-4.9065768357180461E-3</v>
      </c>
      <c r="H99" s="3">
        <v>50.843111999999998</v>
      </c>
      <c r="I99" s="7">
        <f t="shared" si="24"/>
        <v>-1.9538651842465615E-4</v>
      </c>
      <c r="J99" s="3">
        <v>40.70232</v>
      </c>
      <c r="K99" s="7">
        <f t="shared" si="25"/>
        <v>1.9617144434025402E-3</v>
      </c>
      <c r="L99" s="3">
        <v>74.970000999999996</v>
      </c>
      <c r="M99" s="7">
        <f t="shared" si="26"/>
        <v>-6.6643564381918541E-4</v>
      </c>
      <c r="N99" s="3">
        <v>13.039315</v>
      </c>
      <c r="O99" s="7">
        <f t="shared" si="27"/>
        <v>-1.2810890055273361E-2</v>
      </c>
      <c r="P99" s="3">
        <v>41.879154999999997</v>
      </c>
      <c r="Q99" s="7">
        <f t="shared" si="28"/>
        <v>-5.1899347609495328E-3</v>
      </c>
      <c r="R99" s="3">
        <v>7.23</v>
      </c>
      <c r="S99" s="7">
        <f t="shared" si="29"/>
        <v>6.9637883008357715E-3</v>
      </c>
      <c r="T99" s="3">
        <v>60.817889000000001</v>
      </c>
      <c r="U99" s="7">
        <f t="shared" si="30"/>
        <v>-6.4871680717607516E-3</v>
      </c>
      <c r="V99" s="3">
        <v>46.269838999999997</v>
      </c>
      <c r="W99" s="7">
        <f t="shared" si="31"/>
        <v>-6.3385384810431544E-3</v>
      </c>
      <c r="X99" s="3">
        <v>155.21379200000001</v>
      </c>
      <c r="Y99" s="7">
        <f t="shared" si="32"/>
        <v>-5.9220072289049019E-3</v>
      </c>
      <c r="Z99" s="3">
        <v>128.95866899999999</v>
      </c>
      <c r="AA99" s="7">
        <f t="shared" si="33"/>
        <v>1.5114675097411157E-2</v>
      </c>
      <c r="AB99" s="3">
        <v>8.93</v>
      </c>
      <c r="AC99" s="7">
        <f t="shared" si="34"/>
        <v>5.6306306306304066E-3</v>
      </c>
      <c r="AD99" s="3">
        <v>68.911184000000006</v>
      </c>
      <c r="AE99" s="7">
        <f t="shared" si="35"/>
        <v>3.2942311063330898E-3</v>
      </c>
      <c r="AF99" s="3">
        <v>72.314959000000002</v>
      </c>
      <c r="AG99" s="7">
        <f t="shared" si="36"/>
        <v>-2.8759217473843801E-3</v>
      </c>
      <c r="AH99" s="3">
        <v>12.107989999999999</v>
      </c>
      <c r="AI99" s="7">
        <f t="shared" si="37"/>
        <v>6.7484696111330233E-2</v>
      </c>
      <c r="AJ99" s="3">
        <v>92.229859000000005</v>
      </c>
      <c r="AK99" s="7">
        <f t="shared" si="38"/>
        <v>1.0667678147611159E-3</v>
      </c>
      <c r="AL99" s="3">
        <v>7.47</v>
      </c>
      <c r="AM99" s="7">
        <f t="shared" si="39"/>
        <v>4.3296089385474801E-2</v>
      </c>
      <c r="AN99" s="3">
        <v>0.25</v>
      </c>
      <c r="AO99" s="7">
        <f t="shared" si="40"/>
        <v>-0.13793103448275856</v>
      </c>
      <c r="AP99" s="3">
        <v>9.66</v>
      </c>
      <c r="AQ99" s="7">
        <f t="shared" si="41"/>
        <v>4.3196544276457916E-2</v>
      </c>
    </row>
    <row r="100" spans="1:43" x14ac:dyDescent="0.3">
      <c r="A100" s="4">
        <v>42551</v>
      </c>
      <c r="B100" s="3">
        <v>17929.990234000001</v>
      </c>
      <c r="C100" s="7">
        <f t="shared" si="21"/>
        <v>1.3298378391081167E-2</v>
      </c>
      <c r="D100" s="3">
        <v>94.599211999999994</v>
      </c>
      <c r="E100" s="7">
        <f t="shared" si="22"/>
        <v>1.2711833969286213E-2</v>
      </c>
      <c r="F100" s="3">
        <v>95.790001000000004</v>
      </c>
      <c r="G100" s="7">
        <f t="shared" si="23"/>
        <v>1.4832101015278099E-2</v>
      </c>
      <c r="H100" s="3">
        <v>50.853048000000001</v>
      </c>
      <c r="I100" s="7">
        <f t="shared" si="24"/>
        <v>1.2465319168375677E-2</v>
      </c>
      <c r="J100" s="3">
        <v>40.622630000000001</v>
      </c>
      <c r="K100" s="7">
        <f t="shared" si="25"/>
        <v>9.3711634669659816E-3</v>
      </c>
      <c r="L100" s="3">
        <v>75.019997000000004</v>
      </c>
      <c r="M100" s="7">
        <f t="shared" si="26"/>
        <v>-1.065259682163977E-3</v>
      </c>
      <c r="N100" s="3">
        <v>13.208527999999999</v>
      </c>
      <c r="O100" s="7">
        <f t="shared" si="27"/>
        <v>6.0653229284988175E-3</v>
      </c>
      <c r="P100" s="3">
        <v>42.097639000000001</v>
      </c>
      <c r="Q100" s="7">
        <f t="shared" si="28"/>
        <v>6.4102605479323671E-3</v>
      </c>
      <c r="R100" s="3">
        <v>7.18</v>
      </c>
      <c r="S100" s="7">
        <f t="shared" si="29"/>
        <v>1.1267605633802802E-2</v>
      </c>
      <c r="T100" s="3">
        <v>61.215001000000001</v>
      </c>
      <c r="U100" s="7">
        <f t="shared" si="30"/>
        <v>1.535947008835481E-2</v>
      </c>
      <c r="V100" s="3">
        <v>46.564993000000001</v>
      </c>
      <c r="W100" s="7">
        <f t="shared" si="31"/>
        <v>7.6644835339505502E-3</v>
      </c>
      <c r="X100" s="3">
        <v>156.13844499999999</v>
      </c>
      <c r="Y100" s="7">
        <f t="shared" si="32"/>
        <v>-2.5470260181736926E-4</v>
      </c>
      <c r="Z100" s="3">
        <v>127.038523</v>
      </c>
      <c r="AA100" s="7">
        <f t="shared" si="33"/>
        <v>2.5123627530887482E-3</v>
      </c>
      <c r="AB100" s="3">
        <v>8.8800000000000008</v>
      </c>
      <c r="AC100" s="7">
        <f t="shared" si="34"/>
        <v>0</v>
      </c>
      <c r="AD100" s="3">
        <v>68.684920000000005</v>
      </c>
      <c r="AE100" s="7">
        <f t="shared" si="35"/>
        <v>-2.5714329445643003E-3</v>
      </c>
      <c r="AF100" s="3">
        <v>72.523531000000006</v>
      </c>
      <c r="AG100" s="7">
        <f t="shared" si="36"/>
        <v>7.7283806793471133E-3</v>
      </c>
      <c r="AH100" s="3">
        <v>11.342542</v>
      </c>
      <c r="AI100" s="7">
        <f t="shared" si="37"/>
        <v>-6.9625739434773237E-3</v>
      </c>
      <c r="AJ100" s="3">
        <v>92.131575999999995</v>
      </c>
      <c r="AK100" s="7">
        <f t="shared" si="38"/>
        <v>1.3843809760244685E-2</v>
      </c>
      <c r="AL100" s="3">
        <v>7.16</v>
      </c>
      <c r="AM100" s="7">
        <f t="shared" si="39"/>
        <v>-2.7855153203342198E-3</v>
      </c>
      <c r="AN100" s="3">
        <v>0.28999999999999998</v>
      </c>
      <c r="AO100" s="7">
        <f t="shared" si="40"/>
        <v>-0.21621621621621623</v>
      </c>
      <c r="AP100" s="3">
        <v>9.26</v>
      </c>
      <c r="AQ100" s="7">
        <f t="shared" si="41"/>
        <v>-4.1407867494824058E-2</v>
      </c>
    </row>
    <row r="101" spans="1:43" x14ac:dyDescent="0.3">
      <c r="A101" s="4">
        <v>42550</v>
      </c>
      <c r="B101" s="3">
        <v>17694.679688</v>
      </c>
      <c r="C101" s="7">
        <f t="shared" si="21"/>
        <v>1.6367809102813435E-2</v>
      </c>
      <c r="D101" s="3">
        <v>93.411777000000001</v>
      </c>
      <c r="E101" s="7">
        <f t="shared" si="22"/>
        <v>8.6548302304028102E-3</v>
      </c>
      <c r="F101" s="3">
        <v>94.389999000000003</v>
      </c>
      <c r="G101" s="7">
        <f t="shared" si="23"/>
        <v>2.087389163826403E-2</v>
      </c>
      <c r="H101" s="3">
        <v>50.226953000000002</v>
      </c>
      <c r="I101" s="7">
        <f t="shared" si="24"/>
        <v>2.2249221080452575E-2</v>
      </c>
      <c r="J101" s="3">
        <v>40.245483</v>
      </c>
      <c r="K101" s="7">
        <f t="shared" si="25"/>
        <v>3.628923145804186E-2</v>
      </c>
      <c r="L101" s="3">
        <v>75.099997999999999</v>
      </c>
      <c r="M101" s="7">
        <f t="shared" si="26"/>
        <v>1.69262022187191E-2</v>
      </c>
      <c r="N101" s="3">
        <v>13.128897</v>
      </c>
      <c r="O101" s="7">
        <f t="shared" si="27"/>
        <v>3.8582671995394113E-2</v>
      </c>
      <c r="P101" s="3">
        <v>41.829501</v>
      </c>
      <c r="Q101" s="7">
        <f t="shared" si="28"/>
        <v>4.1543048872158206E-2</v>
      </c>
      <c r="R101" s="3">
        <v>7.1</v>
      </c>
      <c r="S101" s="7">
        <f t="shared" si="29"/>
        <v>2.8985507246376718E-2</v>
      </c>
      <c r="T101" s="3">
        <v>60.288994000000002</v>
      </c>
      <c r="U101" s="7">
        <f t="shared" si="30"/>
        <v>2.8225806589152747E-2</v>
      </c>
      <c r="V101" s="3">
        <v>46.210811</v>
      </c>
      <c r="W101" s="7">
        <f t="shared" si="31"/>
        <v>1.8872063377713078E-2</v>
      </c>
      <c r="X101" s="3">
        <v>156.178224</v>
      </c>
      <c r="Y101" s="7">
        <f t="shared" si="32"/>
        <v>9.5115386871513774E-3</v>
      </c>
      <c r="Z101" s="3">
        <v>126.720156</v>
      </c>
      <c r="AA101" s="7">
        <f t="shared" si="33"/>
        <v>-1.2545778139948505E-3</v>
      </c>
      <c r="AB101" s="3">
        <v>8.8800000000000008</v>
      </c>
      <c r="AC101" s="7">
        <f t="shared" si="34"/>
        <v>2.1864211737629535E-2</v>
      </c>
      <c r="AD101" s="3">
        <v>68.861993999999996</v>
      </c>
      <c r="AE101" s="7">
        <f t="shared" si="35"/>
        <v>3.7281605622370151E-3</v>
      </c>
      <c r="AF101" s="3">
        <v>71.967339999999993</v>
      </c>
      <c r="AG101" s="7">
        <f t="shared" si="36"/>
        <v>1.3284799745234555E-2</v>
      </c>
      <c r="AH101" s="3">
        <v>11.422069</v>
      </c>
      <c r="AI101" s="7">
        <f t="shared" si="37"/>
        <v>-2.0460351695660184E-2</v>
      </c>
      <c r="AJ101" s="3">
        <v>90.873540000000006</v>
      </c>
      <c r="AK101" s="7">
        <f t="shared" si="38"/>
        <v>1.7049777426202173E-2</v>
      </c>
      <c r="AL101" s="3">
        <v>7.18</v>
      </c>
      <c r="AM101" s="7">
        <f t="shared" si="39"/>
        <v>5.8997050147492569E-2</v>
      </c>
      <c r="AN101" s="3">
        <v>0.37</v>
      </c>
      <c r="AO101" s="7">
        <f t="shared" si="40"/>
        <v>8.8235294117646967E-2</v>
      </c>
      <c r="AP101" s="3">
        <v>9.66</v>
      </c>
      <c r="AQ101" s="7">
        <f t="shared" si="41"/>
        <v>6.3876651982378796E-2</v>
      </c>
    </row>
    <row r="102" spans="1:43" x14ac:dyDescent="0.3">
      <c r="A102" s="4">
        <v>42549</v>
      </c>
      <c r="B102" s="3">
        <v>17409.720702999999</v>
      </c>
      <c r="C102" s="7">
        <f t="shared" si="21"/>
        <v>1.5722094050085067E-2</v>
      </c>
      <c r="D102" s="3">
        <v>92.610251000000005</v>
      </c>
      <c r="E102" s="7">
        <f t="shared" si="22"/>
        <v>1.6840450644547422E-2</v>
      </c>
      <c r="F102" s="3">
        <v>92.459998999999996</v>
      </c>
      <c r="G102" s="7">
        <f t="shared" si="23"/>
        <v>1.7721530384623652E-2</v>
      </c>
      <c r="H102" s="3">
        <v>49.133764999999997</v>
      </c>
      <c r="I102" s="7">
        <f t="shared" si="24"/>
        <v>2.0854821134301593E-2</v>
      </c>
      <c r="J102" s="3">
        <v>38.836148999999999</v>
      </c>
      <c r="K102" s="7">
        <f t="shared" si="25"/>
        <v>1.6891951690852558E-2</v>
      </c>
      <c r="L102" s="3">
        <v>73.849997999999999</v>
      </c>
      <c r="M102" s="7">
        <f t="shared" si="26"/>
        <v>2.5409623385571622E-2</v>
      </c>
      <c r="N102" s="3">
        <v>12.641166999999999</v>
      </c>
      <c r="O102" s="7">
        <f t="shared" si="27"/>
        <v>4.2692845519107125E-2</v>
      </c>
      <c r="P102" s="3">
        <v>40.161087000000002</v>
      </c>
      <c r="Q102" s="7">
        <f t="shared" si="28"/>
        <v>5.0935524495529183E-2</v>
      </c>
      <c r="R102" s="3">
        <v>6.9</v>
      </c>
      <c r="S102" s="7">
        <f t="shared" si="29"/>
        <v>3.7593984962406068E-2</v>
      </c>
      <c r="T102" s="3">
        <v>58.634002000000002</v>
      </c>
      <c r="U102" s="7">
        <f t="shared" si="30"/>
        <v>3.3153961290893763E-2</v>
      </c>
      <c r="V102" s="3">
        <v>45.354871000000003</v>
      </c>
      <c r="W102" s="7">
        <f t="shared" si="31"/>
        <v>2.4216841108457121E-2</v>
      </c>
      <c r="X102" s="3">
        <v>154.70672500000001</v>
      </c>
      <c r="Y102" s="7">
        <f t="shared" si="32"/>
        <v>8.686710089035321E-3</v>
      </c>
      <c r="Z102" s="3">
        <v>126.879336</v>
      </c>
      <c r="AA102" s="7">
        <f t="shared" si="33"/>
        <v>2.2940570123205051E-2</v>
      </c>
      <c r="AB102" s="3">
        <v>8.69</v>
      </c>
      <c r="AC102" s="7">
        <f t="shared" si="34"/>
        <v>3.0842230130486259E-2</v>
      </c>
      <c r="AD102" s="3">
        <v>68.606218999999996</v>
      </c>
      <c r="AE102" s="7">
        <f t="shared" si="35"/>
        <v>4.1756748257522069E-3</v>
      </c>
      <c r="AF102" s="3">
        <v>71.023803000000001</v>
      </c>
      <c r="AG102" s="7">
        <f t="shared" si="36"/>
        <v>1.3990225120541488E-4</v>
      </c>
      <c r="AH102" s="3">
        <v>11.66065</v>
      </c>
      <c r="AI102" s="7">
        <f t="shared" si="37"/>
        <v>4.7321471956117911E-2</v>
      </c>
      <c r="AJ102" s="3">
        <v>89.350139999999996</v>
      </c>
      <c r="AK102" s="7">
        <f t="shared" si="38"/>
        <v>2.3070038646796576E-2</v>
      </c>
      <c r="AL102" s="3">
        <v>6.78</v>
      </c>
      <c r="AM102" s="7">
        <f t="shared" si="39"/>
        <v>7.2784810126582222E-2</v>
      </c>
      <c r="AN102" s="3">
        <v>0.34</v>
      </c>
      <c r="AO102" s="7">
        <f t="shared" si="40"/>
        <v>9.6774193548387233E-2</v>
      </c>
      <c r="AP102" s="3">
        <v>9.08</v>
      </c>
      <c r="AQ102" s="7">
        <f t="shared" si="41"/>
        <v>6.0747663551401709E-2</v>
      </c>
    </row>
    <row r="103" spans="1:43" x14ac:dyDescent="0.3">
      <c r="A103" s="4">
        <v>42548</v>
      </c>
      <c r="B103" s="3">
        <v>17140.240234000001</v>
      </c>
      <c r="C103" s="7">
        <f t="shared" si="21"/>
        <v>-1.4971180322687183E-2</v>
      </c>
      <c r="D103" s="3">
        <v>91.076481999999999</v>
      </c>
      <c r="E103" s="7">
        <f t="shared" si="22"/>
        <v>-1.4561029111552104E-2</v>
      </c>
      <c r="F103" s="3">
        <v>90.849997999999999</v>
      </c>
      <c r="G103" s="7">
        <f t="shared" si="23"/>
        <v>-1.4642072059937283E-2</v>
      </c>
      <c r="H103" s="3">
        <v>48.130021999999997</v>
      </c>
      <c r="I103" s="7">
        <f t="shared" si="24"/>
        <v>-2.8095557649556957E-2</v>
      </c>
      <c r="J103" s="3">
        <v>38.191028000000003</v>
      </c>
      <c r="K103" s="7">
        <f t="shared" si="25"/>
        <v>-1.9118028233230056E-2</v>
      </c>
      <c r="L103" s="3">
        <v>72.019997000000004</v>
      </c>
      <c r="M103" s="7">
        <f t="shared" si="26"/>
        <v>-2.5967067190504012E-2</v>
      </c>
      <c r="N103" s="3">
        <v>12.123576999999999</v>
      </c>
      <c r="O103" s="7">
        <f t="shared" si="27"/>
        <v>-6.3076893591219374E-2</v>
      </c>
      <c r="P103" s="3">
        <v>38.214606000000003</v>
      </c>
      <c r="Q103" s="7">
        <f t="shared" si="28"/>
        <v>-4.5161300317069997E-2</v>
      </c>
      <c r="R103" s="3">
        <v>6.65</v>
      </c>
      <c r="S103" s="7">
        <f t="shared" si="29"/>
        <v>-2.9197080291970656E-2</v>
      </c>
      <c r="T103" s="3">
        <v>56.752434000000001</v>
      </c>
      <c r="U103" s="7">
        <f t="shared" si="30"/>
        <v>-3.3389221762494814E-2</v>
      </c>
      <c r="V103" s="3">
        <v>44.282488999999998</v>
      </c>
      <c r="W103" s="7">
        <f t="shared" si="31"/>
        <v>-1.531394276444864E-2</v>
      </c>
      <c r="X103" s="3">
        <v>153.37440599999999</v>
      </c>
      <c r="Y103" s="7">
        <f t="shared" si="32"/>
        <v>-8.3569245622785449E-3</v>
      </c>
      <c r="Z103" s="3">
        <v>124.03392700000001</v>
      </c>
      <c r="AA103" s="7">
        <f t="shared" si="33"/>
        <v>-1.3686736722829163E-2</v>
      </c>
      <c r="AB103" s="3">
        <v>8.43</v>
      </c>
      <c r="AC103" s="7">
        <f t="shared" si="34"/>
        <v>-3.5460992907803135E-3</v>
      </c>
      <c r="AD103" s="3">
        <v>68.320932999999997</v>
      </c>
      <c r="AE103" s="7">
        <f t="shared" si="35"/>
        <v>1.4419423721419022E-3</v>
      </c>
      <c r="AF103" s="3">
        <v>71.013868000000002</v>
      </c>
      <c r="AG103" s="7">
        <f t="shared" si="36"/>
        <v>-6.3924341625678505E-3</v>
      </c>
      <c r="AH103" s="3">
        <v>11.133782999999999</v>
      </c>
      <c r="AI103" s="7">
        <f t="shared" si="37"/>
        <v>-0.1521574943458297</v>
      </c>
      <c r="AJ103" s="3">
        <v>87.335311000000004</v>
      </c>
      <c r="AK103" s="7">
        <f t="shared" si="38"/>
        <v>-5.9290625491996707E-3</v>
      </c>
      <c r="AL103" s="3">
        <v>6.32</v>
      </c>
      <c r="AM103" s="7">
        <f t="shared" si="39"/>
        <v>-6.2314540059347223E-2</v>
      </c>
      <c r="AN103" s="3">
        <v>0.31</v>
      </c>
      <c r="AO103" s="7">
        <f t="shared" si="40"/>
        <v>-0.13888888888888884</v>
      </c>
      <c r="AP103" s="3">
        <v>8.56</v>
      </c>
      <c r="AQ103" s="7">
        <f t="shared" si="41"/>
        <v>-0.11295336787564769</v>
      </c>
    </row>
    <row r="104" spans="1:43" x14ac:dyDescent="0.3">
      <c r="A104" s="4">
        <v>42545</v>
      </c>
      <c r="B104" s="3">
        <v>17400.75</v>
      </c>
      <c r="C104" s="7">
        <f t="shared" si="21"/>
        <v>-3.3885843618819744E-2</v>
      </c>
      <c r="D104" s="3">
        <v>92.422245000000004</v>
      </c>
      <c r="E104" s="7">
        <f t="shared" si="22"/>
        <v>-2.8095701581604793E-2</v>
      </c>
      <c r="F104" s="3">
        <v>92.199996999999996</v>
      </c>
      <c r="G104" s="7">
        <f t="shared" si="23"/>
        <v>-4.1679680300173327E-2</v>
      </c>
      <c r="H104" s="3">
        <v>49.521352</v>
      </c>
      <c r="I104" s="7">
        <f t="shared" si="24"/>
        <v>-4.0069305414121015E-2</v>
      </c>
      <c r="J104" s="3">
        <v>38.935395999999997</v>
      </c>
      <c r="K104" s="7">
        <f t="shared" si="25"/>
        <v>-3.9186930666672226E-2</v>
      </c>
      <c r="L104" s="3">
        <v>73.940002000000007</v>
      </c>
      <c r="M104" s="7">
        <f t="shared" si="26"/>
        <v>-8.7948661650425364E-2</v>
      </c>
      <c r="N104" s="3">
        <v>12.939778</v>
      </c>
      <c r="O104" s="7">
        <f t="shared" si="27"/>
        <v>-7.4074058172617252E-2</v>
      </c>
      <c r="P104" s="3">
        <v>40.022053999999997</v>
      </c>
      <c r="Q104" s="7">
        <f t="shared" si="28"/>
        <v>-9.3567235038636509E-2</v>
      </c>
      <c r="R104" s="3">
        <v>6.85</v>
      </c>
      <c r="S104" s="7">
        <f t="shared" si="29"/>
        <v>-7.1815718157181574E-2</v>
      </c>
      <c r="T104" s="3">
        <v>58.712809</v>
      </c>
      <c r="U104" s="7">
        <f t="shared" si="30"/>
        <v>-6.9477039101268456E-2</v>
      </c>
      <c r="V104" s="3">
        <v>44.971175000000002</v>
      </c>
      <c r="W104" s="7">
        <f t="shared" si="31"/>
        <v>-4.5919458315354156E-2</v>
      </c>
      <c r="X104" s="3">
        <v>154.666946</v>
      </c>
      <c r="Y104" s="7">
        <f t="shared" si="32"/>
        <v>-9.3612756486471937E-3</v>
      </c>
      <c r="Z104" s="3">
        <v>125.755104</v>
      </c>
      <c r="AA104" s="7">
        <f t="shared" si="33"/>
        <v>-1.4732184168296802E-2</v>
      </c>
      <c r="AB104" s="3">
        <v>8.4600000000000009</v>
      </c>
      <c r="AC104" s="7">
        <f t="shared" si="34"/>
        <v>-1.0526315789473717E-2</v>
      </c>
      <c r="AD104" s="3">
        <v>68.222560000000001</v>
      </c>
      <c r="AE104" s="7">
        <f t="shared" si="35"/>
        <v>-6.1622330472309583E-3</v>
      </c>
      <c r="AF104" s="3">
        <v>71.470740000000006</v>
      </c>
      <c r="AG104" s="7">
        <f t="shared" si="36"/>
        <v>-1.9417457289496731E-3</v>
      </c>
      <c r="AH104" s="3">
        <v>13.1319</v>
      </c>
      <c r="AI104" s="7">
        <f t="shared" si="37"/>
        <v>-7.2982434888203218E-2</v>
      </c>
      <c r="AJ104" s="3">
        <v>87.856216000000003</v>
      </c>
      <c r="AK104" s="7">
        <f t="shared" si="38"/>
        <v>-2.6252762154221121E-2</v>
      </c>
      <c r="AL104" s="3">
        <v>6.74</v>
      </c>
      <c r="AM104" s="7">
        <f t="shared" si="39"/>
        <v>-6.5187239944521469E-2</v>
      </c>
      <c r="AN104" s="3">
        <v>0.36</v>
      </c>
      <c r="AO104" s="7">
        <f t="shared" si="40"/>
        <v>-0.10000000000000009</v>
      </c>
      <c r="AP104" s="3">
        <v>9.65</v>
      </c>
      <c r="AQ104" s="7">
        <f t="shared" si="41"/>
        <v>-0.14752650176678439</v>
      </c>
    </row>
    <row r="105" spans="1:43" x14ac:dyDescent="0.3">
      <c r="A105" s="4">
        <v>42544</v>
      </c>
      <c r="B105" s="3">
        <v>18011.070312</v>
      </c>
      <c r="C105" s="7">
        <f t="shared" si="21"/>
        <v>1.2948789960310902E-2</v>
      </c>
      <c r="D105" s="3">
        <v>95.093976999999995</v>
      </c>
      <c r="E105" s="7">
        <f t="shared" si="22"/>
        <v>5.7561026159997919E-3</v>
      </c>
      <c r="F105" s="3">
        <v>96.209998999999996</v>
      </c>
      <c r="G105" s="7">
        <f t="shared" si="23"/>
        <v>2.340173336024387E-2</v>
      </c>
      <c r="H105" s="3">
        <v>51.588465999999997</v>
      </c>
      <c r="I105" s="7">
        <f t="shared" si="24"/>
        <v>1.8042704086285166E-2</v>
      </c>
      <c r="J105" s="3">
        <v>40.523383000000003</v>
      </c>
      <c r="K105" s="7">
        <f t="shared" si="25"/>
        <v>2.0494975803923454E-2</v>
      </c>
      <c r="L105" s="3">
        <v>81.069999999999993</v>
      </c>
      <c r="M105" s="7">
        <f t="shared" si="26"/>
        <v>2.8415551733716793E-2</v>
      </c>
      <c r="N105" s="3">
        <v>13.974959999999999</v>
      </c>
      <c r="O105" s="7">
        <f t="shared" si="27"/>
        <v>3.1594413267279631E-2</v>
      </c>
      <c r="P105" s="3">
        <v>44.153362000000001</v>
      </c>
      <c r="Q105" s="7">
        <f t="shared" si="28"/>
        <v>4.1705681452491872E-2</v>
      </c>
      <c r="R105" s="3">
        <v>7.38</v>
      </c>
      <c r="S105" s="7">
        <f t="shared" si="29"/>
        <v>3.9436619718309807E-2</v>
      </c>
      <c r="T105" s="3">
        <v>63.096572000000002</v>
      </c>
      <c r="U105" s="7">
        <f t="shared" si="30"/>
        <v>2.1368265917881546E-2</v>
      </c>
      <c r="V105" s="3">
        <v>47.135617000000003</v>
      </c>
      <c r="W105" s="7">
        <f t="shared" si="31"/>
        <v>2.0012762814312079E-2</v>
      </c>
      <c r="X105" s="3">
        <v>156.12850800000001</v>
      </c>
      <c r="Y105" s="7">
        <f t="shared" si="32"/>
        <v>-6.8934769439430443E-3</v>
      </c>
      <c r="Z105" s="3">
        <v>127.635453</v>
      </c>
      <c r="AA105" s="7">
        <f t="shared" si="33"/>
        <v>5.4074874080514146E-3</v>
      </c>
      <c r="AB105" s="3">
        <v>8.5500000000000007</v>
      </c>
      <c r="AC105" s="7">
        <f t="shared" si="34"/>
        <v>1.5439429928741255E-2</v>
      </c>
      <c r="AD105" s="3">
        <v>68.645570000000006</v>
      </c>
      <c r="AE105" s="7">
        <f t="shared" si="35"/>
        <v>1.3360421400907985E-2</v>
      </c>
      <c r="AF105" s="3">
        <v>71.609787999999995</v>
      </c>
      <c r="AG105" s="7">
        <f t="shared" si="36"/>
        <v>4.878030024598301E-3</v>
      </c>
      <c r="AH105" s="3">
        <v>14.165751</v>
      </c>
      <c r="AI105" s="7">
        <f t="shared" si="37"/>
        <v>4.5487861212035963E-2</v>
      </c>
      <c r="AJ105" s="3">
        <v>90.224868000000001</v>
      </c>
      <c r="AK105" s="7">
        <f t="shared" si="38"/>
        <v>6.910220963353586E-3</v>
      </c>
      <c r="AL105" s="3">
        <v>7.21</v>
      </c>
      <c r="AM105" s="7">
        <f t="shared" si="39"/>
        <v>4.1907514450867156E-2</v>
      </c>
      <c r="AN105" s="3">
        <v>0.4</v>
      </c>
      <c r="AO105" s="7">
        <f t="shared" si="40"/>
        <v>0.11111111111111116</v>
      </c>
      <c r="AP105" s="3">
        <v>11.32</v>
      </c>
      <c r="AQ105" s="7">
        <f t="shared" si="41"/>
        <v>-6.4462809917355313E-2</v>
      </c>
    </row>
    <row r="106" spans="1:43" x14ac:dyDescent="0.3">
      <c r="A106" s="4">
        <v>42543</v>
      </c>
      <c r="B106" s="3">
        <v>17780.830077999999</v>
      </c>
      <c r="C106" s="7">
        <f t="shared" si="21"/>
        <v>-2.7426320933465753E-3</v>
      </c>
      <c r="D106" s="3">
        <v>94.549739000000002</v>
      </c>
      <c r="E106" s="7">
        <f t="shared" si="22"/>
        <v>-3.7535256870191436E-3</v>
      </c>
      <c r="F106" s="3">
        <v>94.010002</v>
      </c>
      <c r="G106" s="7">
        <f t="shared" si="23"/>
        <v>-5.7260318318689163E-2</v>
      </c>
      <c r="H106" s="3">
        <v>50.674166999999997</v>
      </c>
      <c r="I106" s="7">
        <f t="shared" si="24"/>
        <v>-3.9069505046153141E-3</v>
      </c>
      <c r="J106" s="3">
        <v>39.709536999999997</v>
      </c>
      <c r="K106" s="7">
        <f t="shared" si="25"/>
        <v>5.0002908815782732E-4</v>
      </c>
      <c r="L106" s="3">
        <v>78.830001999999993</v>
      </c>
      <c r="M106" s="7">
        <f t="shared" si="26"/>
        <v>-7.4288090513425775E-3</v>
      </c>
      <c r="N106" s="3">
        <v>13.546951999999999</v>
      </c>
      <c r="O106" s="7">
        <f t="shared" si="27"/>
        <v>-7.3423832842101078E-4</v>
      </c>
      <c r="P106" s="3">
        <v>42.385640000000002</v>
      </c>
      <c r="Q106" s="7">
        <f t="shared" si="28"/>
        <v>-5.591758048514639E-3</v>
      </c>
      <c r="R106" s="3">
        <v>7.1</v>
      </c>
      <c r="S106" s="7">
        <f t="shared" si="29"/>
        <v>-2.8089887640450062E-3</v>
      </c>
      <c r="T106" s="3">
        <v>61.776515000000003</v>
      </c>
      <c r="U106" s="7">
        <f t="shared" si="30"/>
        <v>-3.8125750004707193E-3</v>
      </c>
      <c r="V106" s="3">
        <v>46.210811</v>
      </c>
      <c r="W106" s="7">
        <f t="shared" si="31"/>
        <v>-5.5049425063465884E-3</v>
      </c>
      <c r="X106" s="3">
        <v>157.21224699999999</v>
      </c>
      <c r="Y106" s="7">
        <f t="shared" si="32"/>
        <v>5.852408544140042E-3</v>
      </c>
      <c r="Z106" s="3">
        <v>126.948978</v>
      </c>
      <c r="AA106" s="7">
        <f t="shared" si="33"/>
        <v>-1.0959706011561821E-3</v>
      </c>
      <c r="AB106" s="3">
        <v>8.42</v>
      </c>
      <c r="AC106" s="7">
        <f t="shared" si="34"/>
        <v>-1.8648018648018683E-2</v>
      </c>
      <c r="AD106" s="3">
        <v>67.740527999999998</v>
      </c>
      <c r="AE106" s="7">
        <f t="shared" si="35"/>
        <v>8.1990921397190331E-3</v>
      </c>
      <c r="AF106" s="3">
        <v>71.262169</v>
      </c>
      <c r="AG106" s="7">
        <f t="shared" si="36"/>
        <v>4.0582245871523259E-3</v>
      </c>
      <c r="AH106" s="3">
        <v>13.549417</v>
      </c>
      <c r="AI106" s="7">
        <f t="shared" si="37"/>
        <v>-2.7817456012407815E-2</v>
      </c>
      <c r="AJ106" s="3">
        <v>89.605672999999996</v>
      </c>
      <c r="AK106" s="7">
        <f t="shared" si="38"/>
        <v>-3.9331478254042151E-3</v>
      </c>
      <c r="AL106" s="3">
        <v>6.92</v>
      </c>
      <c r="AM106" s="7">
        <f t="shared" si="39"/>
        <v>-1.2838801711840153E-2</v>
      </c>
      <c r="AN106" s="3">
        <v>0.36</v>
      </c>
      <c r="AO106" s="7">
        <f t="shared" si="40"/>
        <v>-2.7027027027027084E-2</v>
      </c>
      <c r="AP106" s="3">
        <v>12.1</v>
      </c>
      <c r="AQ106" s="7">
        <f t="shared" si="41"/>
        <v>-2.2617124394184285E-2</v>
      </c>
    </row>
    <row r="107" spans="1:43" x14ac:dyDescent="0.3">
      <c r="A107" s="4">
        <v>42542</v>
      </c>
      <c r="B107" s="3">
        <v>17829.730468999998</v>
      </c>
      <c r="C107" s="7">
        <f t="shared" si="21"/>
        <v>1.3963218602235372E-3</v>
      </c>
      <c r="D107" s="3">
        <v>94.905970999999994</v>
      </c>
      <c r="E107" s="7">
        <f t="shared" si="22"/>
        <v>8.5173977858601368E-3</v>
      </c>
      <c r="F107" s="3">
        <v>99.720000999999996</v>
      </c>
      <c r="G107" s="7">
        <f t="shared" si="23"/>
        <v>1.7654893716805731E-2</v>
      </c>
      <c r="H107" s="3">
        <v>50.872925000000002</v>
      </c>
      <c r="I107" s="7">
        <f t="shared" si="24"/>
        <v>2.2368670910528854E-2</v>
      </c>
      <c r="J107" s="3">
        <v>39.689691000000003</v>
      </c>
      <c r="K107" s="7">
        <f t="shared" si="25"/>
        <v>6.5442368984847121E-3</v>
      </c>
      <c r="L107" s="3">
        <v>79.419998000000007</v>
      </c>
      <c r="M107" s="7">
        <f t="shared" si="26"/>
        <v>1.7031656654201921E-2</v>
      </c>
      <c r="N107" s="3">
        <v>13.556906</v>
      </c>
      <c r="O107" s="7">
        <f t="shared" si="27"/>
        <v>5.9084639952464713E-3</v>
      </c>
      <c r="P107" s="3">
        <v>42.623983000000003</v>
      </c>
      <c r="Q107" s="7">
        <f t="shared" si="28"/>
        <v>2.8037296766243447E-3</v>
      </c>
      <c r="R107" s="3">
        <v>7.12</v>
      </c>
      <c r="S107" s="7">
        <f t="shared" si="29"/>
        <v>-2.8011204481792618E-3</v>
      </c>
      <c r="T107" s="3">
        <v>62.012943999999997</v>
      </c>
      <c r="U107" s="7">
        <f t="shared" si="30"/>
        <v>9.2993708364512706E-3</v>
      </c>
      <c r="V107" s="3">
        <v>46.466607000000003</v>
      </c>
      <c r="W107" s="7">
        <f t="shared" si="31"/>
        <v>6.3924774996813039E-3</v>
      </c>
      <c r="X107" s="3">
        <v>156.29752999999999</v>
      </c>
      <c r="Y107" s="7">
        <f t="shared" si="32"/>
        <v>4.6012299020097291E-3</v>
      </c>
      <c r="Z107" s="3">
        <v>127.088263</v>
      </c>
      <c r="AA107" s="7">
        <f t="shared" si="33"/>
        <v>9.4024613794929657E-4</v>
      </c>
      <c r="AB107" s="3">
        <v>8.58</v>
      </c>
      <c r="AC107" s="7">
        <f t="shared" si="34"/>
        <v>1.4184397163120366E-2</v>
      </c>
      <c r="AD107" s="3">
        <v>67.189633999999998</v>
      </c>
      <c r="AE107" s="7">
        <f t="shared" si="35"/>
        <v>4.559565062660198E-3</v>
      </c>
      <c r="AF107" s="3">
        <v>70.974140000000006</v>
      </c>
      <c r="AG107" s="7">
        <f t="shared" si="36"/>
        <v>5.0633004962419292E-3</v>
      </c>
      <c r="AH107" s="3">
        <v>13.937112000000001</v>
      </c>
      <c r="AI107" s="7">
        <f t="shared" si="37"/>
        <v>-5.2062161423735875E-2</v>
      </c>
      <c r="AJ107" s="3">
        <v>89.959496999999999</v>
      </c>
      <c r="AK107" s="7">
        <f t="shared" si="38"/>
        <v>4.4995152559272888E-3</v>
      </c>
      <c r="AL107" s="3">
        <v>7.01</v>
      </c>
      <c r="AM107" s="7">
        <f t="shared" si="39"/>
        <v>1.5942028985507228E-2</v>
      </c>
      <c r="AN107" s="3">
        <v>0.37</v>
      </c>
      <c r="AO107" s="7">
        <f t="shared" si="40"/>
        <v>0</v>
      </c>
      <c r="AP107" s="3">
        <v>12.38</v>
      </c>
      <c r="AQ107" s="7">
        <f t="shared" si="41"/>
        <v>2.8239202657807549E-2</v>
      </c>
    </row>
    <row r="108" spans="1:43" x14ac:dyDescent="0.3">
      <c r="A108" s="4">
        <v>42541</v>
      </c>
      <c r="B108" s="3">
        <v>17804.869140999999</v>
      </c>
      <c r="C108" s="7">
        <f t="shared" si="21"/>
        <v>7.3384899404131954E-3</v>
      </c>
      <c r="D108" s="3">
        <v>94.104445999999996</v>
      </c>
      <c r="E108" s="7">
        <f t="shared" si="22"/>
        <v>-2.4127008976727593E-3</v>
      </c>
      <c r="F108" s="3">
        <v>97.989998</v>
      </c>
      <c r="G108" s="7">
        <f t="shared" si="23"/>
        <v>2.5214437639371479E-2</v>
      </c>
      <c r="H108" s="3">
        <v>49.759863000000003</v>
      </c>
      <c r="I108" s="7">
        <f t="shared" si="24"/>
        <v>-1.1969210525687446E-3</v>
      </c>
      <c r="J108" s="3">
        <v>39.431640999999999</v>
      </c>
      <c r="K108" s="7">
        <f t="shared" si="25"/>
        <v>1.2600675074616596E-3</v>
      </c>
      <c r="L108" s="3">
        <v>78.089995999999999</v>
      </c>
      <c r="M108" s="7">
        <f t="shared" si="26"/>
        <v>1.5474563966851429E-2</v>
      </c>
      <c r="N108" s="3">
        <v>13.477276</v>
      </c>
      <c r="O108" s="7">
        <f t="shared" si="27"/>
        <v>1.0447802821488716E-2</v>
      </c>
      <c r="P108" s="3">
        <v>42.504810999999997</v>
      </c>
      <c r="Q108" s="7">
        <f t="shared" si="28"/>
        <v>7.5329332940068383E-3</v>
      </c>
      <c r="R108" s="3">
        <v>7.14</v>
      </c>
      <c r="S108" s="7">
        <f t="shared" si="29"/>
        <v>-6.9541029207232929E-3</v>
      </c>
      <c r="T108" s="3">
        <v>61.441575999999998</v>
      </c>
      <c r="U108" s="7">
        <f t="shared" si="30"/>
        <v>1.4450820886817706E-3</v>
      </c>
      <c r="V108" s="3">
        <v>46.171456999999997</v>
      </c>
      <c r="W108" s="7">
        <f t="shared" si="31"/>
        <v>7.0815864552693508E-3</v>
      </c>
      <c r="X108" s="3">
        <v>155.58166299999999</v>
      </c>
      <c r="Y108" s="7">
        <f t="shared" si="32"/>
        <v>3.7847014381806598E-3</v>
      </c>
      <c r="Z108" s="3">
        <v>126.968881</v>
      </c>
      <c r="AA108" s="7">
        <f t="shared" si="33"/>
        <v>3.7753972157743565E-3</v>
      </c>
      <c r="AB108" s="3">
        <v>8.4600000000000009</v>
      </c>
      <c r="AC108" s="7">
        <f t="shared" si="34"/>
        <v>-2.3584905660376521E-3</v>
      </c>
      <c r="AD108" s="3">
        <v>66.884669000000002</v>
      </c>
      <c r="AE108" s="7">
        <f t="shared" si="35"/>
        <v>7.2592297802871464E-3</v>
      </c>
      <c r="AF108" s="3">
        <v>70.616586999999996</v>
      </c>
      <c r="AG108" s="7">
        <f t="shared" si="36"/>
        <v>2.114191336572091E-3</v>
      </c>
      <c r="AH108" s="3">
        <v>14.702559000000001</v>
      </c>
      <c r="AI108" s="7">
        <f t="shared" si="37"/>
        <v>6.8073669037160833E-3</v>
      </c>
      <c r="AJ108" s="3">
        <v>89.556535999999994</v>
      </c>
      <c r="AK108" s="7">
        <f t="shared" si="38"/>
        <v>4.40918593075601E-3</v>
      </c>
      <c r="AL108" s="3">
        <v>6.9</v>
      </c>
      <c r="AM108" s="7">
        <f t="shared" si="39"/>
        <v>4.2296072507552962E-2</v>
      </c>
      <c r="AN108" s="3">
        <v>0.37</v>
      </c>
      <c r="AO108" s="7">
        <f t="shared" si="40"/>
        <v>-2.6315789473684181E-2</v>
      </c>
      <c r="AP108" s="3">
        <v>12.04</v>
      </c>
      <c r="AQ108" s="7">
        <f t="shared" si="41"/>
        <v>2.5553662691652379E-2</v>
      </c>
    </row>
    <row r="109" spans="1:43" x14ac:dyDescent="0.3">
      <c r="A109" s="4">
        <v>42538</v>
      </c>
      <c r="B109" s="3">
        <v>17675.160156000002</v>
      </c>
      <c r="C109" s="7">
        <f t="shared" si="21"/>
        <v>-3.2673054501195509E-3</v>
      </c>
      <c r="D109" s="3">
        <v>94.332041000000004</v>
      </c>
      <c r="E109" s="7">
        <f t="shared" si="22"/>
        <v>-2.2757580449847659E-2</v>
      </c>
      <c r="F109" s="3">
        <v>95.580001999999993</v>
      </c>
      <c r="G109" s="7">
        <f t="shared" si="23"/>
        <v>-1.65654899358888E-2</v>
      </c>
      <c r="H109" s="3">
        <v>49.819493000000001</v>
      </c>
      <c r="I109" s="7">
        <f t="shared" si="24"/>
        <v>-5.1597231120861231E-3</v>
      </c>
      <c r="J109" s="3">
        <v>39.382016999999998</v>
      </c>
      <c r="K109" s="7">
        <f t="shared" si="25"/>
        <v>2.6915114897389181E-2</v>
      </c>
      <c r="L109" s="3">
        <v>76.900002000000001</v>
      </c>
      <c r="M109" s="7">
        <f t="shared" si="26"/>
        <v>9.1864176845046774E-3</v>
      </c>
      <c r="N109" s="3">
        <v>13.337923999999999</v>
      </c>
      <c r="O109" s="7">
        <f t="shared" si="27"/>
        <v>6.7617517724105625E-3</v>
      </c>
      <c r="P109" s="3">
        <v>42.187018999999999</v>
      </c>
      <c r="Q109" s="7">
        <f t="shared" si="28"/>
        <v>8.5470300016248224E-3</v>
      </c>
      <c r="R109" s="3">
        <v>7.19</v>
      </c>
      <c r="S109" s="7">
        <f t="shared" si="29"/>
        <v>8.4151472650773051E-3</v>
      </c>
      <c r="T109" s="3">
        <v>61.352916</v>
      </c>
      <c r="U109" s="7">
        <f t="shared" si="30"/>
        <v>9.6428985301644232E-4</v>
      </c>
      <c r="V109" s="3">
        <v>45.846789000000001</v>
      </c>
      <c r="W109" s="7">
        <f t="shared" si="31"/>
        <v>-5.3361756604314303E-3</v>
      </c>
      <c r="X109" s="3">
        <v>154.99505300000001</v>
      </c>
      <c r="Y109" s="7">
        <f t="shared" si="32"/>
        <v>-3.388311403639821E-3</v>
      </c>
      <c r="Z109" s="3">
        <v>126.491326</v>
      </c>
      <c r="AA109" s="7">
        <f t="shared" si="33"/>
        <v>-1.7273983575356588E-3</v>
      </c>
      <c r="AB109" s="3">
        <v>8.48</v>
      </c>
      <c r="AC109" s="7">
        <f t="shared" si="34"/>
        <v>2.6634382566586012E-2</v>
      </c>
      <c r="AD109" s="3">
        <v>66.402636999999999</v>
      </c>
      <c r="AE109" s="7">
        <f t="shared" si="35"/>
        <v>7.7634619331103938E-3</v>
      </c>
      <c r="AF109" s="3">
        <v>70.467605000000006</v>
      </c>
      <c r="AG109" s="7">
        <f t="shared" si="36"/>
        <v>-4.9089157105198788E-3</v>
      </c>
      <c r="AH109" s="3">
        <v>14.603149999999999</v>
      </c>
      <c r="AI109" s="7">
        <f t="shared" si="37"/>
        <v>5.6074804879835405E-2</v>
      </c>
      <c r="AJ109" s="3">
        <v>89.163398000000001</v>
      </c>
      <c r="AK109" s="7">
        <f t="shared" si="38"/>
        <v>-5.4812447447052381E-3</v>
      </c>
      <c r="AL109" s="3">
        <v>6.62</v>
      </c>
      <c r="AM109" s="7">
        <f t="shared" si="39"/>
        <v>6.4308681672025747E-2</v>
      </c>
      <c r="AN109" s="3">
        <v>0.38</v>
      </c>
      <c r="AO109" s="7">
        <f t="shared" si="40"/>
        <v>5.555555555555558E-2</v>
      </c>
      <c r="AP109" s="3">
        <v>11.74</v>
      </c>
      <c r="AQ109" s="7">
        <f t="shared" si="41"/>
        <v>6.824385805277533E-2</v>
      </c>
    </row>
    <row r="110" spans="1:43" x14ac:dyDescent="0.3">
      <c r="A110" s="4">
        <v>42537</v>
      </c>
      <c r="B110" s="3">
        <v>17733.099609000001</v>
      </c>
      <c r="C110" s="7">
        <f t="shared" si="21"/>
        <v>5.2680720996969299E-3</v>
      </c>
      <c r="D110" s="3">
        <v>96.528802999999996</v>
      </c>
      <c r="E110" s="7">
        <f t="shared" si="22"/>
        <v>4.2207548236250503E-3</v>
      </c>
      <c r="F110" s="3">
        <v>97.190002000000007</v>
      </c>
      <c r="G110" s="7">
        <f t="shared" si="23"/>
        <v>1.7522676278789451E-3</v>
      </c>
      <c r="H110" s="3">
        <v>50.077880999999998</v>
      </c>
      <c r="I110" s="7">
        <f t="shared" si="24"/>
        <v>1.4087358898596136E-2</v>
      </c>
      <c r="J110" s="3">
        <v>38.349826999999998</v>
      </c>
      <c r="K110" s="7">
        <f t="shared" si="25"/>
        <v>5.2029381519824724E-3</v>
      </c>
      <c r="L110" s="3">
        <v>76.199996999999996</v>
      </c>
      <c r="M110" s="7">
        <f t="shared" si="26"/>
        <v>4.8792692897463574E-3</v>
      </c>
      <c r="N110" s="3">
        <v>13.248341999999999</v>
      </c>
      <c r="O110" s="7">
        <f t="shared" si="27"/>
        <v>-2.2488735862827847E-3</v>
      </c>
      <c r="P110" s="3">
        <v>41.829501</v>
      </c>
      <c r="Q110" s="7">
        <f t="shared" si="28"/>
        <v>2.6184401204221164E-3</v>
      </c>
      <c r="R110" s="3">
        <v>7.13</v>
      </c>
      <c r="S110" s="7">
        <f t="shared" si="29"/>
        <v>-1.9257221458046758E-2</v>
      </c>
      <c r="T110" s="3">
        <v>61.293810999999998</v>
      </c>
      <c r="U110" s="7">
        <f t="shared" si="30"/>
        <v>4.0342006940721209E-3</v>
      </c>
      <c r="V110" s="3">
        <v>46.092748</v>
      </c>
      <c r="W110" s="7">
        <f t="shared" si="31"/>
        <v>1.4963536320711235E-3</v>
      </c>
      <c r="X110" s="3">
        <v>155.52200999999999</v>
      </c>
      <c r="Y110" s="7">
        <f t="shared" si="32"/>
        <v>1.0073600368609714E-2</v>
      </c>
      <c r="Z110" s="3">
        <v>126.710205</v>
      </c>
      <c r="AA110" s="7">
        <f t="shared" si="33"/>
        <v>6.5597226561078248E-3</v>
      </c>
      <c r="AB110" s="3">
        <v>8.26</v>
      </c>
      <c r="AC110" s="7">
        <f t="shared" si="34"/>
        <v>-1.0778443113772407E-2</v>
      </c>
      <c r="AD110" s="3">
        <v>65.891093999999995</v>
      </c>
      <c r="AE110" s="7">
        <f t="shared" si="35"/>
        <v>-4.3108890237910646E-3</v>
      </c>
      <c r="AF110" s="3">
        <v>70.815230999999997</v>
      </c>
      <c r="AG110" s="7">
        <f t="shared" si="36"/>
        <v>2.5309310893362191E-3</v>
      </c>
      <c r="AH110" s="3">
        <v>13.827761000000001</v>
      </c>
      <c r="AI110" s="7">
        <f t="shared" si="37"/>
        <v>-5.9499710220513369E-2</v>
      </c>
      <c r="AJ110" s="3">
        <v>89.654818000000006</v>
      </c>
      <c r="AK110" s="7">
        <f t="shared" si="38"/>
        <v>1.1756840352865172E-2</v>
      </c>
      <c r="AL110" s="3">
        <v>6.22</v>
      </c>
      <c r="AM110" s="7">
        <f t="shared" si="39"/>
        <v>8.1037277147486542E-3</v>
      </c>
      <c r="AN110" s="3">
        <v>0.36</v>
      </c>
      <c r="AO110" s="7">
        <f t="shared" si="40"/>
        <v>-7.6923076923076983E-2</v>
      </c>
      <c r="AP110" s="3">
        <v>10.99</v>
      </c>
      <c r="AQ110" s="7">
        <f t="shared" si="41"/>
        <v>-6.2286689419795205E-2</v>
      </c>
    </row>
    <row r="111" spans="1:43" x14ac:dyDescent="0.3">
      <c r="A111" s="4">
        <v>42536</v>
      </c>
      <c r="B111" s="3">
        <v>17640.169922000001</v>
      </c>
      <c r="C111" s="7">
        <f t="shared" si="21"/>
        <v>-1.9604380349187434E-3</v>
      </c>
      <c r="D111" s="3">
        <v>96.123091000000002</v>
      </c>
      <c r="E111" s="7">
        <f t="shared" si="22"/>
        <v>-3.283397453338166E-3</v>
      </c>
      <c r="F111" s="3">
        <v>97.019997000000004</v>
      </c>
      <c r="G111" s="7">
        <f t="shared" si="23"/>
        <v>4.1239429534778438E-4</v>
      </c>
      <c r="H111" s="3">
        <v>49.382216</v>
      </c>
      <c r="I111" s="7">
        <f t="shared" si="24"/>
        <v>-2.8096163448849687E-3</v>
      </c>
      <c r="J111" s="3">
        <v>38.151327999999999</v>
      </c>
      <c r="K111" s="7">
        <f t="shared" si="25"/>
        <v>-1.0043851844194207E-2</v>
      </c>
      <c r="L111" s="3">
        <v>75.830001999999993</v>
      </c>
      <c r="M111" s="7">
        <f t="shared" si="26"/>
        <v>-3.6788726359365809E-3</v>
      </c>
      <c r="N111" s="3">
        <v>13.278203</v>
      </c>
      <c r="O111" s="7">
        <f t="shared" si="27"/>
        <v>6.0331517632130627E-3</v>
      </c>
      <c r="P111" s="3">
        <v>41.720258999999999</v>
      </c>
      <c r="Q111" s="7">
        <f t="shared" si="28"/>
        <v>1.191583371539684E-3</v>
      </c>
      <c r="R111" s="3">
        <v>7.27</v>
      </c>
      <c r="S111" s="7">
        <f t="shared" si="29"/>
        <v>3.2670454545454586E-2</v>
      </c>
      <c r="T111" s="3">
        <v>61.047533000000001</v>
      </c>
      <c r="U111" s="7">
        <f t="shared" si="30"/>
        <v>-1.7719141912334591E-3</v>
      </c>
      <c r="V111" s="3">
        <v>46.023879999999998</v>
      </c>
      <c r="W111" s="7">
        <f t="shared" si="31"/>
        <v>-2.1331562503890122E-3</v>
      </c>
      <c r="X111" s="3">
        <v>153.970968</v>
      </c>
      <c r="Y111" s="7">
        <f t="shared" si="32"/>
        <v>-6.4797221314765174E-3</v>
      </c>
      <c r="Z111" s="3">
        <v>125.884438</v>
      </c>
      <c r="AA111" s="7">
        <f t="shared" si="33"/>
        <v>1.030022876458192E-2</v>
      </c>
      <c r="AB111" s="3">
        <v>8.35</v>
      </c>
      <c r="AC111" s="7">
        <f t="shared" si="34"/>
        <v>4.1147132169575995E-2</v>
      </c>
      <c r="AD111" s="3">
        <v>66.176372999999998</v>
      </c>
      <c r="AE111" s="7">
        <f t="shared" si="35"/>
        <v>7.9412393796536307E-3</v>
      </c>
      <c r="AF111" s="3">
        <v>70.636454999999998</v>
      </c>
      <c r="AG111" s="7">
        <f t="shared" si="36"/>
        <v>2.3961364942088892E-3</v>
      </c>
      <c r="AH111" s="3">
        <v>14.702559000000001</v>
      </c>
      <c r="AI111" s="7">
        <f t="shared" si="37"/>
        <v>-2.6333040908814831E-2</v>
      </c>
      <c r="AJ111" s="3">
        <v>88.613009000000005</v>
      </c>
      <c r="AK111" s="7">
        <f t="shared" si="38"/>
        <v>-2.9856982192956183E-3</v>
      </c>
      <c r="AL111" s="3">
        <v>6.17</v>
      </c>
      <c r="AM111" s="7">
        <f t="shared" si="39"/>
        <v>2.4916943521594792E-2</v>
      </c>
      <c r="AN111" s="3">
        <v>0.39</v>
      </c>
      <c r="AO111" s="7">
        <f t="shared" si="40"/>
        <v>-7.1428571428571397E-2</v>
      </c>
      <c r="AP111" s="3">
        <v>11.72</v>
      </c>
      <c r="AQ111" s="7">
        <f t="shared" si="41"/>
        <v>2.8972783143107916E-2</v>
      </c>
    </row>
    <row r="112" spans="1:43" x14ac:dyDescent="0.3">
      <c r="A112" s="4">
        <v>42535</v>
      </c>
      <c r="B112" s="3">
        <v>17674.820312</v>
      </c>
      <c r="C112" s="7">
        <f t="shared" si="21"/>
        <v>-3.2516689980739422E-3</v>
      </c>
      <c r="D112" s="3">
        <v>96.439740999999998</v>
      </c>
      <c r="E112" s="7">
        <f t="shared" si="22"/>
        <v>1.2328257326745806E-3</v>
      </c>
      <c r="F112" s="3">
        <v>96.980002999999996</v>
      </c>
      <c r="G112" s="7">
        <f t="shared" si="23"/>
        <v>2.0631188331599049E-4</v>
      </c>
      <c r="H112" s="3">
        <v>49.521352</v>
      </c>
      <c r="I112" s="7">
        <f t="shared" si="24"/>
        <v>-6.182631552932305E-3</v>
      </c>
      <c r="J112" s="3">
        <v>38.538401999999998</v>
      </c>
      <c r="K112" s="7">
        <f t="shared" si="25"/>
        <v>5.4376762458707706E-3</v>
      </c>
      <c r="L112" s="3">
        <v>76.110000999999997</v>
      </c>
      <c r="M112" s="7">
        <f t="shared" si="26"/>
        <v>-8.8553195877677515E-3</v>
      </c>
      <c r="N112" s="3">
        <v>13.198574000000001</v>
      </c>
      <c r="O112" s="7">
        <f t="shared" si="27"/>
        <v>-2.5000001846790298E-2</v>
      </c>
      <c r="P112" s="3">
        <v>41.670605000000002</v>
      </c>
      <c r="Q112" s="7">
        <f t="shared" si="28"/>
        <v>-2.7803528828309831E-2</v>
      </c>
      <c r="R112" s="3">
        <v>7.04</v>
      </c>
      <c r="S112" s="7">
        <f t="shared" si="29"/>
        <v>-8.5903393888184798E-3</v>
      </c>
      <c r="T112" s="3">
        <v>61.155895999999998</v>
      </c>
      <c r="U112" s="7">
        <f t="shared" si="30"/>
        <v>-1.8808265878961006E-2</v>
      </c>
      <c r="V112" s="3">
        <v>46.122266000000003</v>
      </c>
      <c r="W112" s="7">
        <f t="shared" si="31"/>
        <v>-2.2722534131412453E-2</v>
      </c>
      <c r="X112" s="3">
        <v>154.97516400000001</v>
      </c>
      <c r="Y112" s="7">
        <f t="shared" si="32"/>
        <v>5.937390276428367E-3</v>
      </c>
      <c r="Z112" s="3">
        <v>124.60101899999999</v>
      </c>
      <c r="AA112" s="7">
        <f t="shared" si="33"/>
        <v>-2.0261310054974446E-2</v>
      </c>
      <c r="AB112" s="3">
        <v>8.02</v>
      </c>
      <c r="AC112" s="7">
        <f t="shared" si="34"/>
        <v>-7.4257425742574323E-3</v>
      </c>
      <c r="AD112" s="3">
        <v>65.654990999999995</v>
      </c>
      <c r="AE112" s="7">
        <f t="shared" si="35"/>
        <v>-2.2425117420215024E-3</v>
      </c>
      <c r="AF112" s="3">
        <v>70.467605000000006</v>
      </c>
      <c r="AG112" s="7">
        <f t="shared" si="36"/>
        <v>5.9548929170518683E-3</v>
      </c>
      <c r="AH112" s="3">
        <v>15.100193000000001</v>
      </c>
      <c r="AI112" s="7">
        <f t="shared" si="37"/>
        <v>2.6402300598322714E-3</v>
      </c>
      <c r="AJ112" s="3">
        <v>88.878372999999996</v>
      </c>
      <c r="AK112" s="7">
        <f t="shared" si="38"/>
        <v>-1.7661470173573335E-3</v>
      </c>
      <c r="AL112" s="3">
        <v>6.02</v>
      </c>
      <c r="AM112" s="7">
        <f t="shared" si="39"/>
        <v>-2.9032258064516259E-2</v>
      </c>
      <c r="AN112" s="3">
        <v>0.42</v>
      </c>
      <c r="AO112" s="7">
        <f t="shared" si="40"/>
        <v>-2.3255813953488413E-2</v>
      </c>
      <c r="AP112" s="3">
        <v>11.39</v>
      </c>
      <c r="AQ112" s="7">
        <f t="shared" si="41"/>
        <v>-2.3156089193825058E-2</v>
      </c>
    </row>
    <row r="113" spans="1:43" x14ac:dyDescent="0.3">
      <c r="A113" s="4">
        <v>42534</v>
      </c>
      <c r="B113" s="3">
        <v>17732.480468999998</v>
      </c>
      <c r="C113" s="7">
        <f t="shared" si="21"/>
        <v>-7.4367113170041854E-3</v>
      </c>
      <c r="D113" s="3">
        <v>96.320993999999999</v>
      </c>
      <c r="E113" s="7">
        <f t="shared" si="22"/>
        <v>-1.5076455230482066E-2</v>
      </c>
      <c r="F113" s="3">
        <v>96.959998999999996</v>
      </c>
      <c r="G113" s="7">
        <f t="shared" si="23"/>
        <v>-1.3389330039729197E-3</v>
      </c>
      <c r="H113" s="3">
        <v>49.829428999999998</v>
      </c>
      <c r="I113" s="7">
        <f t="shared" si="24"/>
        <v>-2.6029546259044745E-2</v>
      </c>
      <c r="J113" s="3">
        <v>38.329976000000002</v>
      </c>
      <c r="K113" s="7">
        <f t="shared" si="25"/>
        <v>-3.0976555536650352E-3</v>
      </c>
      <c r="L113" s="3">
        <v>76.790001000000004</v>
      </c>
      <c r="M113" s="7">
        <f t="shared" si="26"/>
        <v>-2.1035198341784911E-2</v>
      </c>
      <c r="N113" s="3">
        <v>13.536999</v>
      </c>
      <c r="O113" s="7">
        <f t="shared" si="27"/>
        <v>-1.6630474665247919E-2</v>
      </c>
      <c r="P113" s="3">
        <v>42.862329000000003</v>
      </c>
      <c r="Q113" s="7">
        <f t="shared" si="28"/>
        <v>-1.6856530806420245E-2</v>
      </c>
      <c r="R113" s="3">
        <v>7.101</v>
      </c>
      <c r="S113" s="7">
        <f t="shared" si="29"/>
        <v>-1.7615138660005525E-2</v>
      </c>
      <c r="T113" s="3">
        <v>62.328181000000001</v>
      </c>
      <c r="U113" s="7">
        <f t="shared" si="30"/>
        <v>-8.9285691570205605E-3</v>
      </c>
      <c r="V113" s="3">
        <v>47.194648000000001</v>
      </c>
      <c r="W113" s="7">
        <f t="shared" si="31"/>
        <v>-7.6541043507379891E-3</v>
      </c>
      <c r="X113" s="3">
        <v>154.06044700000001</v>
      </c>
      <c r="Y113" s="7">
        <f t="shared" si="32"/>
        <v>5.1657054489973042E-4</v>
      </c>
      <c r="Z113" s="3">
        <v>127.177808</v>
      </c>
      <c r="AA113" s="7">
        <f t="shared" si="33"/>
        <v>-7.7621673993526485E-3</v>
      </c>
      <c r="AB113" s="3">
        <v>8.08</v>
      </c>
      <c r="AC113" s="7">
        <f t="shared" si="34"/>
        <v>-1.4634146341463317E-2</v>
      </c>
      <c r="AD113" s="3">
        <v>65.802554000000001</v>
      </c>
      <c r="AE113" s="7">
        <f t="shared" si="35"/>
        <v>-1.458452639977581E-2</v>
      </c>
      <c r="AF113" s="3">
        <v>70.050461999999996</v>
      </c>
      <c r="AG113" s="7">
        <f t="shared" si="36"/>
        <v>-8.5746616056235903E-3</v>
      </c>
      <c r="AH113" s="3">
        <v>15.06043</v>
      </c>
      <c r="AI113" s="7">
        <f t="shared" si="37"/>
        <v>8.6550986293867371E-3</v>
      </c>
      <c r="AJ113" s="3">
        <v>89.035623000000001</v>
      </c>
      <c r="AK113" s="7">
        <f t="shared" si="38"/>
        <v>6.779200126844076E-3</v>
      </c>
      <c r="AL113" s="3">
        <v>6.2</v>
      </c>
      <c r="AM113" s="7">
        <f t="shared" si="39"/>
        <v>-4.1731066460587218E-2</v>
      </c>
      <c r="AN113" s="3">
        <v>0.43</v>
      </c>
      <c r="AO113" s="7">
        <f t="shared" si="40"/>
        <v>0.13157894736842102</v>
      </c>
      <c r="AP113" s="3">
        <v>11.66</v>
      </c>
      <c r="AQ113" s="7">
        <f t="shared" si="41"/>
        <v>-2.0990764063811951E-2</v>
      </c>
    </row>
    <row r="114" spans="1:43" x14ac:dyDescent="0.3">
      <c r="A114" s="4">
        <v>42531</v>
      </c>
      <c r="B114" s="3">
        <v>17865.339843999998</v>
      </c>
      <c r="C114" s="7">
        <f t="shared" si="21"/>
        <v>-6.663794635758391E-3</v>
      </c>
      <c r="D114" s="3">
        <v>97.795401999999996</v>
      </c>
      <c r="E114" s="7">
        <f t="shared" si="22"/>
        <v>-8.2287921331039016E-3</v>
      </c>
      <c r="F114" s="3">
        <v>97.089995999999999</v>
      </c>
      <c r="G114" s="7">
        <f t="shared" si="23"/>
        <v>-9.9929030284490183E-3</v>
      </c>
      <c r="H114" s="3">
        <v>51.16113</v>
      </c>
      <c r="I114" s="7">
        <f t="shared" si="24"/>
        <v>-2.7121109050085579E-3</v>
      </c>
      <c r="J114" s="3">
        <v>38.449078</v>
      </c>
      <c r="K114" s="7">
        <f t="shared" si="25"/>
        <v>-7.9384629468515211E-3</v>
      </c>
      <c r="L114" s="3">
        <v>78.440002000000007</v>
      </c>
      <c r="M114" s="7">
        <f t="shared" si="26"/>
        <v>-2.8486451040040772E-2</v>
      </c>
      <c r="N114" s="3">
        <v>13.765933</v>
      </c>
      <c r="O114" s="7">
        <f t="shared" si="27"/>
        <v>-2.5369957303972956E-2</v>
      </c>
      <c r="P114" s="3">
        <v>43.597226999999997</v>
      </c>
      <c r="Q114" s="7">
        <f t="shared" si="28"/>
        <v>-2.4661110818789189E-2</v>
      </c>
      <c r="R114" s="3">
        <v>7.2283280000000003</v>
      </c>
      <c r="S114" s="7">
        <f t="shared" si="29"/>
        <v>-3.5294114506780327E-2</v>
      </c>
      <c r="T114" s="3">
        <v>62.889696000000001</v>
      </c>
      <c r="U114" s="7">
        <f t="shared" si="30"/>
        <v>-1.4054038597000162E-2</v>
      </c>
      <c r="V114" s="3">
        <v>47.558667</v>
      </c>
      <c r="W114" s="7">
        <f t="shared" si="31"/>
        <v>-1.6279988296795889E-2</v>
      </c>
      <c r="X114" s="3">
        <v>153.98090500000001</v>
      </c>
      <c r="Y114" s="7">
        <f t="shared" si="32"/>
        <v>5.322898180414315E-3</v>
      </c>
      <c r="Z114" s="3">
        <v>128.17270600000001</v>
      </c>
      <c r="AA114" s="7">
        <f t="shared" si="33"/>
        <v>-3.6349648382763E-3</v>
      </c>
      <c r="AB114" s="3">
        <v>8.1999999999999993</v>
      </c>
      <c r="AC114" s="7">
        <f t="shared" si="34"/>
        <v>-2.6128266033254244E-2</v>
      </c>
      <c r="AD114" s="3">
        <v>66.776456999999994</v>
      </c>
      <c r="AE114" s="7">
        <f t="shared" si="35"/>
        <v>2.806836766326759E-3</v>
      </c>
      <c r="AF114" s="3">
        <v>70.656316000000004</v>
      </c>
      <c r="AG114" s="7">
        <f t="shared" si="36"/>
        <v>7.0338981658557564E-4</v>
      </c>
      <c r="AH114" s="3">
        <v>14.931198999999999</v>
      </c>
      <c r="AI114" s="7">
        <f t="shared" si="37"/>
        <v>-7.1119357487682389E-2</v>
      </c>
      <c r="AJ114" s="3">
        <v>88.436097000000004</v>
      </c>
      <c r="AK114" s="7">
        <f t="shared" si="38"/>
        <v>-7.6099499774737733E-3</v>
      </c>
      <c r="AL114" s="3">
        <v>6.47</v>
      </c>
      <c r="AM114" s="7">
        <f t="shared" si="39"/>
        <v>-6.0957910014513783E-2</v>
      </c>
      <c r="AN114" s="3">
        <v>0.38</v>
      </c>
      <c r="AO114" s="7">
        <f t="shared" si="40"/>
        <v>-0.38709677419354838</v>
      </c>
      <c r="AP114" s="3">
        <v>11.91</v>
      </c>
      <c r="AQ114" s="7">
        <f t="shared" si="41"/>
        <v>-0.10786516853932582</v>
      </c>
    </row>
    <row r="115" spans="1:43" x14ac:dyDescent="0.3">
      <c r="A115" s="4">
        <v>42530</v>
      </c>
      <c r="B115" s="3">
        <v>17985.189452999999</v>
      </c>
      <c r="C115" s="7">
        <f t="shared" si="21"/>
        <v>-1.1030975830937928E-3</v>
      </c>
      <c r="D115" s="3">
        <v>98.606817000000007</v>
      </c>
      <c r="E115" s="7">
        <f t="shared" si="22"/>
        <v>7.1760520388435278E-3</v>
      </c>
      <c r="F115" s="3">
        <v>98.07</v>
      </c>
      <c r="G115" s="7">
        <f t="shared" si="23"/>
        <v>-6.1815970814755872E-3</v>
      </c>
      <c r="H115" s="3">
        <v>51.300261999999996</v>
      </c>
      <c r="I115" s="7">
        <f t="shared" si="24"/>
        <v>-8.0707438012183053E-3</v>
      </c>
      <c r="J115" s="3">
        <v>38.756746999999997</v>
      </c>
      <c r="K115" s="7">
        <f t="shared" si="25"/>
        <v>-5.8554029214298309E-3</v>
      </c>
      <c r="L115" s="3">
        <v>80.739998</v>
      </c>
      <c r="M115" s="7">
        <f t="shared" si="26"/>
        <v>-9.5681922068765468E-3</v>
      </c>
      <c r="N115" s="3">
        <v>14.124264999999999</v>
      </c>
      <c r="O115" s="7">
        <f t="shared" si="27"/>
        <v>-1.6632071201074683E-2</v>
      </c>
      <c r="P115" s="3">
        <v>44.699567999999999</v>
      </c>
      <c r="Q115" s="7">
        <f t="shared" si="28"/>
        <v>-1.2072065596927084E-2</v>
      </c>
      <c r="R115" s="3">
        <v>7.4927789999999996</v>
      </c>
      <c r="S115" s="7">
        <f t="shared" si="29"/>
        <v>-1.9230867402202034E-2</v>
      </c>
      <c r="T115" s="3">
        <v>63.786149000000002</v>
      </c>
      <c r="U115" s="7">
        <f t="shared" si="30"/>
        <v>-7.6628486008593066E-3</v>
      </c>
      <c r="V115" s="3">
        <v>48.345734999999998</v>
      </c>
      <c r="W115" s="7">
        <f t="shared" si="31"/>
        <v>-1.7200028882841556E-2</v>
      </c>
      <c r="X115" s="3">
        <v>153.16561999999999</v>
      </c>
      <c r="Y115" s="7">
        <f t="shared" si="32"/>
        <v>4.4337736634956215E-3</v>
      </c>
      <c r="Z115" s="3">
        <v>128.640309</v>
      </c>
      <c r="AA115" s="7">
        <f t="shared" si="33"/>
        <v>-2.2377773509961729E-3</v>
      </c>
      <c r="AB115" s="3">
        <v>8.42</v>
      </c>
      <c r="AC115" s="7">
        <f t="shared" si="34"/>
        <v>-1.8648018648018683E-2</v>
      </c>
      <c r="AD115" s="3">
        <v>66.589551</v>
      </c>
      <c r="AE115" s="7">
        <f t="shared" si="35"/>
        <v>-1.3552902719039195E-2</v>
      </c>
      <c r="AF115" s="3">
        <v>70.606651999999997</v>
      </c>
      <c r="AG115" s="7">
        <f t="shared" si="36"/>
        <v>-2.6655841852241124E-3</v>
      </c>
      <c r="AH115" s="3">
        <v>16.074400000000001</v>
      </c>
      <c r="AI115" s="7">
        <f t="shared" si="37"/>
        <v>-3.3908348106723274E-2</v>
      </c>
      <c r="AJ115" s="3">
        <v>89.114251999999993</v>
      </c>
      <c r="AK115" s="7">
        <f t="shared" si="38"/>
        <v>-1.3217650723289509E-3</v>
      </c>
      <c r="AL115" s="3">
        <v>6.89</v>
      </c>
      <c r="AM115" s="7">
        <f t="shared" si="39"/>
        <v>-3.6363636363636487E-2</v>
      </c>
      <c r="AN115" s="3">
        <v>0.62</v>
      </c>
      <c r="AO115" s="7">
        <f t="shared" si="40"/>
        <v>0.9375</v>
      </c>
      <c r="AP115" s="3">
        <v>13.35</v>
      </c>
      <c r="AQ115" s="7">
        <f t="shared" si="41"/>
        <v>-1.8382352941176516E-2</v>
      </c>
    </row>
    <row r="116" spans="1:43" x14ac:dyDescent="0.3">
      <c r="A116" s="4">
        <v>42529</v>
      </c>
      <c r="B116" s="3">
        <v>18005.050781000002</v>
      </c>
      <c r="C116" s="7">
        <f t="shared" si="21"/>
        <v>3.7222903543021602E-3</v>
      </c>
      <c r="D116" s="3">
        <v>97.904251000000002</v>
      </c>
      <c r="E116" s="7">
        <f t="shared" si="22"/>
        <v>-9.0877636997754863E-4</v>
      </c>
      <c r="F116" s="3">
        <v>98.68</v>
      </c>
      <c r="G116" s="7">
        <f t="shared" si="23"/>
        <v>1.6240662289099816E-3</v>
      </c>
      <c r="H116" s="3">
        <v>51.717661999999997</v>
      </c>
      <c r="I116" s="7">
        <f t="shared" si="24"/>
        <v>-1.1515860004100986E-3</v>
      </c>
      <c r="J116" s="3">
        <v>38.985019999999999</v>
      </c>
      <c r="K116" s="7">
        <f t="shared" si="25"/>
        <v>3.8333100431764411E-3</v>
      </c>
      <c r="L116" s="3">
        <v>81.519997000000004</v>
      </c>
      <c r="M116" s="7">
        <f t="shared" si="26"/>
        <v>-4.6398655765600427E-3</v>
      </c>
      <c r="N116" s="3">
        <v>14.363154</v>
      </c>
      <c r="O116" s="7">
        <f t="shared" si="27"/>
        <v>5.5749547520624887E-3</v>
      </c>
      <c r="P116" s="3">
        <v>45.245778000000001</v>
      </c>
      <c r="Q116" s="7">
        <f t="shared" si="28"/>
        <v>4.3919509422862824E-4</v>
      </c>
      <c r="R116" s="3">
        <v>7.639697</v>
      </c>
      <c r="S116" s="7">
        <f t="shared" si="29"/>
        <v>1.6949249557529633E-2</v>
      </c>
      <c r="T116" s="3">
        <v>64.278706999999997</v>
      </c>
      <c r="U116" s="7">
        <f t="shared" si="30"/>
        <v>2.9204326087881594E-3</v>
      </c>
      <c r="V116" s="3">
        <v>49.191836000000002</v>
      </c>
      <c r="W116" s="7">
        <f t="shared" si="31"/>
        <v>-5.3709983397453032E-3</v>
      </c>
      <c r="X116" s="3">
        <v>152.48951600000001</v>
      </c>
      <c r="Y116" s="7">
        <f t="shared" si="32"/>
        <v>4.914163820125772E-3</v>
      </c>
      <c r="Z116" s="3">
        <v>128.92882299999999</v>
      </c>
      <c r="AA116" s="7">
        <f t="shared" si="33"/>
        <v>-2.5400376138599023E-3</v>
      </c>
      <c r="AB116" s="3">
        <v>8.58</v>
      </c>
      <c r="AC116" s="7">
        <f t="shared" si="34"/>
        <v>-6.9444444444445308E-3</v>
      </c>
      <c r="AD116" s="3">
        <v>67.504431999999994</v>
      </c>
      <c r="AE116" s="7">
        <f t="shared" si="35"/>
        <v>5.5686523307809654E-3</v>
      </c>
      <c r="AF116" s="3">
        <v>70.795362999999995</v>
      </c>
      <c r="AG116" s="7">
        <f t="shared" si="36"/>
        <v>3.5196362462317499E-3</v>
      </c>
      <c r="AH116" s="3">
        <v>16.638587000000001</v>
      </c>
      <c r="AI116" s="7">
        <f t="shared" si="37"/>
        <v>3.7014204997848132E-2</v>
      </c>
      <c r="AJ116" s="3">
        <v>89.232196000000002</v>
      </c>
      <c r="AK116" s="7">
        <f t="shared" si="38"/>
        <v>8.8195012993708133E-4</v>
      </c>
      <c r="AL116" s="3">
        <v>7.15</v>
      </c>
      <c r="AM116" s="7">
        <f t="shared" si="39"/>
        <v>0.11024844720496896</v>
      </c>
      <c r="AN116" s="3">
        <v>0.32</v>
      </c>
      <c r="AO116" s="7">
        <f t="shared" si="40"/>
        <v>0.45454545454545459</v>
      </c>
      <c r="AP116" s="3">
        <v>13.6</v>
      </c>
      <c r="AQ116" s="7">
        <f t="shared" si="41"/>
        <v>-1.8050541516245522E-2</v>
      </c>
    </row>
    <row r="117" spans="1:43" x14ac:dyDescent="0.3">
      <c r="A117" s="4">
        <v>42528</v>
      </c>
      <c r="B117" s="3">
        <v>17938.279297000001</v>
      </c>
      <c r="C117" s="7">
        <f t="shared" si="21"/>
        <v>1.0016120753286728E-3</v>
      </c>
      <c r="D117" s="3">
        <v>97.993305000000007</v>
      </c>
      <c r="E117" s="7">
        <f t="shared" si="22"/>
        <v>4.0555755680236061E-3</v>
      </c>
      <c r="F117" s="3">
        <v>98.519997000000004</v>
      </c>
      <c r="G117" s="7">
        <f t="shared" si="23"/>
        <v>-6.0533291146086521E-3</v>
      </c>
      <c r="H117" s="3">
        <v>51.777287999999999</v>
      </c>
      <c r="I117" s="7">
        <f t="shared" si="24"/>
        <v>-5.7553881846905686E-4</v>
      </c>
      <c r="J117" s="3">
        <v>38.836148999999999</v>
      </c>
      <c r="K117" s="7">
        <f t="shared" si="25"/>
        <v>-7.8599639922708464E-3</v>
      </c>
      <c r="L117" s="3">
        <v>81.900002000000001</v>
      </c>
      <c r="M117" s="7">
        <f t="shared" si="26"/>
        <v>7.0084837819137658E-3</v>
      </c>
      <c r="N117" s="3">
        <v>14.283524</v>
      </c>
      <c r="O117" s="7">
        <f t="shared" si="27"/>
        <v>-1.1708024576936649E-2</v>
      </c>
      <c r="P117" s="3">
        <v>45.225915000000001</v>
      </c>
      <c r="Q117" s="7">
        <f t="shared" si="28"/>
        <v>-4.3725707099667721E-3</v>
      </c>
      <c r="R117" s="3">
        <v>7.5123680000000004</v>
      </c>
      <c r="S117" s="7">
        <f t="shared" si="29"/>
        <v>5.3571308361513248E-2</v>
      </c>
      <c r="T117" s="3">
        <v>64.091532000000001</v>
      </c>
      <c r="U117" s="7">
        <f t="shared" si="30"/>
        <v>-3.370127000328349E-3</v>
      </c>
      <c r="V117" s="3">
        <v>49.457472000000003</v>
      </c>
      <c r="W117" s="7">
        <f t="shared" si="31"/>
        <v>-4.3573169395922928E-3</v>
      </c>
      <c r="X117" s="3">
        <v>151.74382199999999</v>
      </c>
      <c r="Y117" s="7">
        <f t="shared" si="32"/>
        <v>2.4959896215539512E-3</v>
      </c>
      <c r="Z117" s="3">
        <v>129.25714099999999</v>
      </c>
      <c r="AA117" s="7">
        <f t="shared" si="33"/>
        <v>5.6505569440243875E-3</v>
      </c>
      <c r="AB117" s="3">
        <v>8.64</v>
      </c>
      <c r="AC117" s="7">
        <f t="shared" si="34"/>
        <v>2.1276595744680771E-2</v>
      </c>
      <c r="AD117" s="3">
        <v>67.130605000000003</v>
      </c>
      <c r="AE117" s="7">
        <f t="shared" si="35"/>
        <v>-8.2836743454531847E-3</v>
      </c>
      <c r="AF117" s="3">
        <v>70.547062999999994</v>
      </c>
      <c r="AG117" s="7">
        <f t="shared" si="36"/>
        <v>-2.8154830766269345E-4</v>
      </c>
      <c r="AH117" s="3">
        <v>16.044705</v>
      </c>
      <c r="AI117" s="7">
        <f t="shared" si="37"/>
        <v>1.1228848730870267E-2</v>
      </c>
      <c r="AJ117" s="3">
        <v>89.153566999999995</v>
      </c>
      <c r="AK117" s="7">
        <f t="shared" si="38"/>
        <v>1.5334710344682811E-2</v>
      </c>
      <c r="AL117" s="3">
        <v>6.44</v>
      </c>
      <c r="AM117" s="7">
        <f t="shared" si="39"/>
        <v>3.5369774919614239E-2</v>
      </c>
      <c r="AN117" s="3">
        <v>0.22</v>
      </c>
      <c r="AO117" s="7">
        <f t="shared" si="40"/>
        <v>0</v>
      </c>
      <c r="AP117" s="3">
        <v>13.85</v>
      </c>
      <c r="AQ117" s="7">
        <f t="shared" si="41"/>
        <v>1.4461315979754641E-3</v>
      </c>
    </row>
    <row r="118" spans="1:43" x14ac:dyDescent="0.3">
      <c r="A118" s="4">
        <v>42527</v>
      </c>
      <c r="B118" s="3">
        <v>17920.330077999999</v>
      </c>
      <c r="C118" s="7">
        <f t="shared" si="21"/>
        <v>6.3609336701604402E-3</v>
      </c>
      <c r="D118" s="3">
        <v>97.597491000000005</v>
      </c>
      <c r="E118" s="7">
        <f t="shared" si="22"/>
        <v>7.2508132624160559E-3</v>
      </c>
      <c r="F118" s="3">
        <v>99.120002999999997</v>
      </c>
      <c r="G118" s="7">
        <f t="shared" si="23"/>
        <v>4.2553800685525278E-3</v>
      </c>
      <c r="H118" s="3">
        <v>51.807105</v>
      </c>
      <c r="I118" s="7">
        <f t="shared" si="24"/>
        <v>6.5649733779675756E-3</v>
      </c>
      <c r="J118" s="3">
        <v>39.143818000000003</v>
      </c>
      <c r="K118" s="7">
        <f t="shared" si="25"/>
        <v>8.6956597925635926E-3</v>
      </c>
      <c r="L118" s="3">
        <v>81.330001999999993</v>
      </c>
      <c r="M118" s="7">
        <f t="shared" si="26"/>
        <v>1.9712209429891825E-3</v>
      </c>
      <c r="N118" s="3">
        <v>14.452737000000001</v>
      </c>
      <c r="O118" s="7">
        <f t="shared" si="27"/>
        <v>6.9348298637239569E-3</v>
      </c>
      <c r="P118" s="3">
        <v>45.424537000000001</v>
      </c>
      <c r="Q118" s="7">
        <f t="shared" si="28"/>
        <v>7.7109921525524427E-3</v>
      </c>
      <c r="R118" s="3">
        <v>7.1303840000000003</v>
      </c>
      <c r="S118" s="7">
        <f t="shared" si="29"/>
        <v>8.3104059948957421E-3</v>
      </c>
      <c r="T118" s="3">
        <v>64.308259000000007</v>
      </c>
      <c r="U118" s="7">
        <f t="shared" si="30"/>
        <v>9.9009880776950165E-3</v>
      </c>
      <c r="V118" s="3">
        <v>49.673917000000003</v>
      </c>
      <c r="W118" s="7">
        <f t="shared" si="31"/>
        <v>5.977346982142917E-3</v>
      </c>
      <c r="X118" s="3">
        <v>151.36601400000001</v>
      </c>
      <c r="Y118" s="7">
        <f t="shared" si="32"/>
        <v>3.4934983484185E-3</v>
      </c>
      <c r="Z118" s="3">
        <v>128.53086999999999</v>
      </c>
      <c r="AA118" s="7">
        <f t="shared" si="33"/>
        <v>-1.9356331460138265E-2</v>
      </c>
      <c r="AB118" s="3">
        <v>8.4600000000000009</v>
      </c>
      <c r="AC118" s="7">
        <f t="shared" si="34"/>
        <v>1.1834319526629056E-3</v>
      </c>
      <c r="AD118" s="3">
        <v>67.691338000000002</v>
      </c>
      <c r="AE118" s="7">
        <f t="shared" si="35"/>
        <v>2.3306058110661443E-3</v>
      </c>
      <c r="AF118" s="3">
        <v>70.566930999999997</v>
      </c>
      <c r="AG118" s="7">
        <f t="shared" si="36"/>
        <v>2.5398591567005191E-3</v>
      </c>
      <c r="AH118" s="3">
        <v>15.866542000000001</v>
      </c>
      <c r="AI118" s="7">
        <f t="shared" si="37"/>
        <v>0.18565093046431458</v>
      </c>
      <c r="AJ118" s="3">
        <v>87.807070999999993</v>
      </c>
      <c r="AK118" s="7">
        <f t="shared" si="38"/>
        <v>1.0976501513389358E-2</v>
      </c>
      <c r="AL118" s="3">
        <v>6.22</v>
      </c>
      <c r="AM118" s="7">
        <f t="shared" si="39"/>
        <v>2.1346469622331776E-2</v>
      </c>
      <c r="AN118" s="3">
        <v>0.22</v>
      </c>
      <c r="AO118" s="7">
        <f t="shared" si="40"/>
        <v>0.15789473684210531</v>
      </c>
      <c r="AP118" s="3">
        <v>13.83</v>
      </c>
      <c r="AQ118" s="7">
        <f t="shared" si="41"/>
        <v>9.6748612212529839E-2</v>
      </c>
    </row>
    <row r="119" spans="1:43" x14ac:dyDescent="0.3">
      <c r="A119" s="4">
        <v>42524</v>
      </c>
      <c r="B119" s="3">
        <v>17807.060547000001</v>
      </c>
      <c r="C119" s="7">
        <f t="shared" si="21"/>
        <v>-1.765837547093918E-3</v>
      </c>
      <c r="D119" s="3">
        <v>96.894924000000003</v>
      </c>
      <c r="E119" s="7">
        <f t="shared" si="22"/>
        <v>2.0466297508792142E-3</v>
      </c>
      <c r="F119" s="3">
        <v>98.699996999999996</v>
      </c>
      <c r="G119" s="7">
        <f t="shared" si="23"/>
        <v>-1.4675062686933527E-2</v>
      </c>
      <c r="H119" s="3">
        <v>51.469211000000001</v>
      </c>
      <c r="I119" s="7">
        <f t="shared" si="24"/>
        <v>-1.314784472173447E-2</v>
      </c>
      <c r="J119" s="3">
        <v>38.806370999999999</v>
      </c>
      <c r="K119" s="7">
        <f t="shared" si="25"/>
        <v>1.1381226899564334E-2</v>
      </c>
      <c r="L119" s="3">
        <v>81.169998000000007</v>
      </c>
      <c r="M119" s="7">
        <f t="shared" si="26"/>
        <v>3.0894711589093404E-3</v>
      </c>
      <c r="N119" s="3">
        <v>14.353199999999999</v>
      </c>
      <c r="O119" s="7">
        <f t="shared" si="27"/>
        <v>-3.4805817310311071E-2</v>
      </c>
      <c r="P119" s="3">
        <v>45.076948999999999</v>
      </c>
      <c r="Q119" s="7">
        <f t="shared" si="28"/>
        <v>-3.3638515996198048E-2</v>
      </c>
      <c r="R119" s="3">
        <v>7.0716159999999997</v>
      </c>
      <c r="S119" s="7">
        <f t="shared" si="29"/>
        <v>6.9734419116218582E-3</v>
      </c>
      <c r="T119" s="3">
        <v>63.677785999999998</v>
      </c>
      <c r="U119" s="7">
        <f t="shared" si="30"/>
        <v>-1.7778427541858322E-2</v>
      </c>
      <c r="V119" s="3">
        <v>49.378762999999999</v>
      </c>
      <c r="W119" s="7">
        <f t="shared" si="31"/>
        <v>-1.8000435328249798E-2</v>
      </c>
      <c r="X119" s="3">
        <v>150.83905799999999</v>
      </c>
      <c r="Y119" s="7">
        <f t="shared" si="32"/>
        <v>1.3201257560779833E-3</v>
      </c>
      <c r="Z119" s="3">
        <v>131.06786299999999</v>
      </c>
      <c r="AA119" s="7">
        <f t="shared" si="33"/>
        <v>-5.0600282266347607E-3</v>
      </c>
      <c r="AB119" s="3">
        <v>8.4499999999999993</v>
      </c>
      <c r="AC119" s="7">
        <f t="shared" si="34"/>
        <v>1.0765550239234534E-2</v>
      </c>
      <c r="AD119" s="3">
        <v>67.533942999999994</v>
      </c>
      <c r="AE119" s="7">
        <f t="shared" si="35"/>
        <v>4.8302388362706505E-3</v>
      </c>
      <c r="AF119" s="3">
        <v>70.388154999999998</v>
      </c>
      <c r="AG119" s="7">
        <f t="shared" si="36"/>
        <v>-1.1274684303519411E-3</v>
      </c>
      <c r="AH119" s="3">
        <v>13.382135999999999</v>
      </c>
      <c r="AI119" s="7">
        <f t="shared" si="37"/>
        <v>5.956110767745626E-2</v>
      </c>
      <c r="AJ119" s="3">
        <v>86.853720999999993</v>
      </c>
      <c r="AK119" s="7">
        <f t="shared" si="38"/>
        <v>-1.8072548367807917E-3</v>
      </c>
      <c r="AL119" s="3">
        <v>6.09</v>
      </c>
      <c r="AM119" s="7">
        <f t="shared" si="39"/>
        <v>2.8716216216216228E-2</v>
      </c>
      <c r="AN119" s="3">
        <v>0.19</v>
      </c>
      <c r="AO119" s="7">
        <f t="shared" si="40"/>
        <v>0</v>
      </c>
      <c r="AP119" s="3">
        <v>12.61</v>
      </c>
      <c r="AQ119" s="7">
        <f t="shared" si="41"/>
        <v>-1.098039215686275E-2</v>
      </c>
    </row>
    <row r="120" spans="1:43" x14ac:dyDescent="0.3">
      <c r="A120" s="4">
        <v>42523</v>
      </c>
      <c r="B120" s="3">
        <v>17838.560547000001</v>
      </c>
      <c r="C120" s="7">
        <f t="shared" si="21"/>
        <v>2.7482592546328455E-3</v>
      </c>
      <c r="D120" s="3">
        <v>96.697021000000007</v>
      </c>
      <c r="E120" s="7">
        <f t="shared" si="22"/>
        <v>-7.5157186846268598E-3</v>
      </c>
      <c r="F120" s="3">
        <v>100.16999800000001</v>
      </c>
      <c r="G120" s="7">
        <f t="shared" si="23"/>
        <v>1.299450206922792E-3</v>
      </c>
      <c r="H120" s="3">
        <v>52.154935999999999</v>
      </c>
      <c r="I120" s="7">
        <f t="shared" si="24"/>
        <v>-7.0009233922215808E-3</v>
      </c>
      <c r="J120" s="3">
        <v>38.369677000000003</v>
      </c>
      <c r="K120" s="7">
        <f t="shared" si="25"/>
        <v>-3.974164152755677E-2</v>
      </c>
      <c r="L120" s="3">
        <v>80.919998000000007</v>
      </c>
      <c r="M120" s="7">
        <f t="shared" si="26"/>
        <v>-3.571001152210207E-3</v>
      </c>
      <c r="N120" s="3">
        <v>14.87079</v>
      </c>
      <c r="O120" s="7">
        <f t="shared" si="27"/>
        <v>5.383553055774204E-3</v>
      </c>
      <c r="P120" s="3">
        <v>46.646053000000002</v>
      </c>
      <c r="Q120" s="7">
        <f t="shared" si="28"/>
        <v>6.3915469148123627E-4</v>
      </c>
      <c r="R120" s="3">
        <v>7.0226439999999997</v>
      </c>
      <c r="S120" s="7">
        <f t="shared" si="29"/>
        <v>8.4388337128871171E-3</v>
      </c>
      <c r="T120" s="3">
        <v>64.830368000000007</v>
      </c>
      <c r="U120" s="7">
        <f t="shared" si="30"/>
        <v>1.8266891698051069E-3</v>
      </c>
      <c r="V120" s="3">
        <v>50.283895000000001</v>
      </c>
      <c r="W120" s="7">
        <f t="shared" si="31"/>
        <v>2.1568819247703708E-3</v>
      </c>
      <c r="X120" s="3">
        <v>150.64019400000001</v>
      </c>
      <c r="Y120" s="7">
        <f t="shared" si="32"/>
        <v>-6.6221434282391911E-3</v>
      </c>
      <c r="Z120" s="3">
        <v>131.734443</v>
      </c>
      <c r="AA120" s="7">
        <f t="shared" si="33"/>
        <v>4.3996221334061669E-3</v>
      </c>
      <c r="AB120" s="3">
        <v>8.36</v>
      </c>
      <c r="AC120" s="7">
        <f t="shared" si="34"/>
        <v>7.455012853470433E-2</v>
      </c>
      <c r="AD120" s="3">
        <v>67.209305999999998</v>
      </c>
      <c r="AE120" s="7">
        <f t="shared" si="35"/>
        <v>-1.3156587312519452E-3</v>
      </c>
      <c r="AF120" s="3">
        <v>70.467605000000006</v>
      </c>
      <c r="AG120" s="7">
        <f t="shared" si="36"/>
        <v>6.3829296801338753E-3</v>
      </c>
      <c r="AH120" s="3">
        <v>12.629886000000001</v>
      </c>
      <c r="AI120" s="7">
        <f t="shared" si="37"/>
        <v>-3.1131342723696109E-2</v>
      </c>
      <c r="AJ120" s="3">
        <v>87.010971999999995</v>
      </c>
      <c r="AK120" s="7">
        <f t="shared" si="38"/>
        <v>-7.9560669797869021E-3</v>
      </c>
      <c r="AL120" s="3">
        <v>5.92</v>
      </c>
      <c r="AM120" s="7">
        <f t="shared" si="39"/>
        <v>1.8932874354561147E-2</v>
      </c>
      <c r="AN120" s="3">
        <v>0.19</v>
      </c>
      <c r="AO120" s="7">
        <f t="shared" si="40"/>
        <v>0.11764705882352944</v>
      </c>
      <c r="AP120" s="3">
        <v>12.75</v>
      </c>
      <c r="AQ120" s="7">
        <f t="shared" si="41"/>
        <v>1.1102299762093537E-2</v>
      </c>
    </row>
    <row r="121" spans="1:43" x14ac:dyDescent="0.3">
      <c r="A121" s="4">
        <v>42522</v>
      </c>
      <c r="B121" s="3">
        <v>17789.669922000001</v>
      </c>
      <c r="C121" s="7">
        <f t="shared" si="21"/>
        <v>1.3890343103395431E-4</v>
      </c>
      <c r="D121" s="3">
        <v>97.429271999999997</v>
      </c>
      <c r="E121" s="7">
        <f t="shared" si="22"/>
        <v>-1.4019646364468064E-2</v>
      </c>
      <c r="F121" s="3">
        <v>100.040001</v>
      </c>
      <c r="G121" s="7">
        <f t="shared" si="23"/>
        <v>5.7303709085114729E-3</v>
      </c>
      <c r="H121" s="3">
        <v>52.522643000000002</v>
      </c>
      <c r="I121" s="7">
        <f t="shared" si="24"/>
        <v>-2.8302097245171964E-3</v>
      </c>
      <c r="J121" s="3">
        <v>39.957659999999997</v>
      </c>
      <c r="K121" s="7">
        <f t="shared" si="25"/>
        <v>1.4924765990811384E-3</v>
      </c>
      <c r="L121" s="3">
        <v>81.209998999999996</v>
      </c>
      <c r="M121" s="7">
        <f t="shared" si="26"/>
        <v>1.7268903416800541E-3</v>
      </c>
      <c r="N121" s="3">
        <v>14.791161000000001</v>
      </c>
      <c r="O121" s="7">
        <f t="shared" si="27"/>
        <v>8.1411057751454852E-3</v>
      </c>
      <c r="P121" s="3">
        <v>46.616258000000002</v>
      </c>
      <c r="Q121" s="7">
        <f t="shared" si="28"/>
        <v>7.9450260449944743E-3</v>
      </c>
      <c r="R121" s="3">
        <v>6.9638770000000001</v>
      </c>
      <c r="S121" s="7">
        <f t="shared" si="29"/>
        <v>-1.112658442286707E-2</v>
      </c>
      <c r="T121" s="3">
        <v>64.712159</v>
      </c>
      <c r="U121" s="7">
        <f t="shared" si="30"/>
        <v>6.4348873594159972E-3</v>
      </c>
      <c r="V121" s="3">
        <v>50.175671999999999</v>
      </c>
      <c r="W121" s="7">
        <f t="shared" si="31"/>
        <v>5.5204789864664594E-3</v>
      </c>
      <c r="X121" s="3">
        <v>151.64440500000001</v>
      </c>
      <c r="Y121" s="7">
        <f t="shared" si="32"/>
        <v>2.5206696292819242E-2</v>
      </c>
      <c r="Z121" s="3">
        <v>131.1574</v>
      </c>
      <c r="AA121" s="7">
        <f t="shared" si="33"/>
        <v>-2.1949255874168516E-3</v>
      </c>
      <c r="AB121" s="3">
        <v>7.78</v>
      </c>
      <c r="AC121" s="7">
        <f t="shared" si="34"/>
        <v>-1.2836970474967568E-3</v>
      </c>
      <c r="AD121" s="3">
        <v>67.297847000000004</v>
      </c>
      <c r="AE121" s="7">
        <f t="shared" si="35"/>
        <v>-5.3793995246388393E-3</v>
      </c>
      <c r="AF121" s="3">
        <v>70.020668000000001</v>
      </c>
      <c r="AG121" s="7">
        <f t="shared" si="36"/>
        <v>-3.9559017560520937E-3</v>
      </c>
      <c r="AH121" s="3">
        <v>13.035705</v>
      </c>
      <c r="AI121" s="7">
        <f t="shared" si="37"/>
        <v>-1.7897039136663961E-2</v>
      </c>
      <c r="AJ121" s="3">
        <v>87.708788999999996</v>
      </c>
      <c r="AK121" s="7">
        <f t="shared" si="38"/>
        <v>2.4713757953502835E-3</v>
      </c>
      <c r="AL121" s="3">
        <v>5.81</v>
      </c>
      <c r="AM121" s="7">
        <f t="shared" si="39"/>
        <v>3.1971580817051537E-2</v>
      </c>
      <c r="AN121" s="3">
        <v>0.17</v>
      </c>
      <c r="AO121" s="7">
        <f t="shared" si="40"/>
        <v>6.25E-2</v>
      </c>
      <c r="AP121" s="3">
        <v>12.61</v>
      </c>
      <c r="AQ121" s="7">
        <f t="shared" si="41"/>
        <v>2.1052631578947434E-2</v>
      </c>
    </row>
    <row r="122" spans="1:43" x14ac:dyDescent="0.3">
      <c r="A122" s="4">
        <v>42521</v>
      </c>
      <c r="B122" s="3">
        <v>17787.199218999998</v>
      </c>
      <c r="C122" s="7">
        <f t="shared" si="21"/>
        <v>-4.8128697915962304E-3</v>
      </c>
      <c r="D122" s="3">
        <v>98.814617999999996</v>
      </c>
      <c r="E122" s="7">
        <f t="shared" si="22"/>
        <v>-4.8828852950961732E-3</v>
      </c>
      <c r="F122" s="3">
        <v>99.470000999999996</v>
      </c>
      <c r="G122" s="7">
        <f t="shared" si="23"/>
        <v>-6.6906132084144643E-3</v>
      </c>
      <c r="H122" s="3">
        <v>52.671714999999999</v>
      </c>
      <c r="I122" s="7">
        <f t="shared" si="24"/>
        <v>1.2996941087327851E-2</v>
      </c>
      <c r="J122" s="3">
        <v>39.898113000000002</v>
      </c>
      <c r="K122" s="7">
        <f t="shared" si="25"/>
        <v>3.244354006810557E-3</v>
      </c>
      <c r="L122" s="3">
        <v>81.069999999999993</v>
      </c>
      <c r="M122" s="7">
        <f t="shared" si="26"/>
        <v>8.6419753086408591E-4</v>
      </c>
      <c r="N122" s="3">
        <v>14.671716999999999</v>
      </c>
      <c r="O122" s="7">
        <f t="shared" si="27"/>
        <v>-6.0483719358522814E-3</v>
      </c>
      <c r="P122" s="3">
        <v>46.248809999999999</v>
      </c>
      <c r="Q122" s="7">
        <f t="shared" si="28"/>
        <v>-2.1474858893710813E-4</v>
      </c>
      <c r="R122" s="3">
        <v>7.0422330000000004</v>
      </c>
      <c r="S122" s="7">
        <f t="shared" si="29"/>
        <v>1.3928313338844589E-3</v>
      </c>
      <c r="T122" s="3">
        <v>64.298406</v>
      </c>
      <c r="U122" s="7">
        <f t="shared" si="30"/>
        <v>-2.4454035927471418E-3</v>
      </c>
      <c r="V122" s="3">
        <v>49.900199000000001</v>
      </c>
      <c r="W122" s="7">
        <f t="shared" si="31"/>
        <v>-2.5564835119146201E-3</v>
      </c>
      <c r="X122" s="3">
        <v>147.915933</v>
      </c>
      <c r="Y122" s="7">
        <f t="shared" si="32"/>
        <v>-2.0794047253474002E-3</v>
      </c>
      <c r="Z122" s="3">
        <v>131.44591399999999</v>
      </c>
      <c r="AA122" s="7">
        <f t="shared" si="33"/>
        <v>-8.4803476317879545E-3</v>
      </c>
      <c r="AB122" s="3">
        <v>7.79</v>
      </c>
      <c r="AC122" s="7">
        <f t="shared" si="34"/>
        <v>-8.9058524173027953E-3</v>
      </c>
      <c r="AD122" s="3">
        <v>67.661827000000002</v>
      </c>
      <c r="AE122" s="7">
        <f t="shared" si="35"/>
        <v>-1.7416968242152109E-3</v>
      </c>
      <c r="AF122" s="3">
        <v>70.298762999999994</v>
      </c>
      <c r="AG122" s="7">
        <f t="shared" si="36"/>
        <v>4.2401362718158531E-4</v>
      </c>
      <c r="AH122" s="3">
        <v>13.273256999999999</v>
      </c>
      <c r="AI122" s="7">
        <f t="shared" si="37"/>
        <v>3.6321454085516569E-2</v>
      </c>
      <c r="AJ122" s="3">
        <v>87.492562000000007</v>
      </c>
      <c r="AK122" s="7">
        <f t="shared" si="38"/>
        <v>-1.0998842589413305E-2</v>
      </c>
      <c r="AL122" s="3">
        <v>5.63</v>
      </c>
      <c r="AM122" s="7">
        <f t="shared" si="39"/>
        <v>-3.5958904109589018E-2</v>
      </c>
      <c r="AN122" s="3">
        <v>0.16</v>
      </c>
      <c r="AO122" s="7">
        <f t="shared" si="40"/>
        <v>-0.20000000000000007</v>
      </c>
      <c r="AP122" s="3">
        <v>12.35</v>
      </c>
      <c r="AQ122" s="7">
        <f t="shared" si="41"/>
        <v>2.7454242928452555E-2</v>
      </c>
    </row>
    <row r="123" spans="1:43" x14ac:dyDescent="0.3">
      <c r="A123" s="4">
        <v>42517</v>
      </c>
      <c r="B123" s="3">
        <v>17873.220702999999</v>
      </c>
      <c r="C123" s="7">
        <f t="shared" si="21"/>
        <v>2.5202441380518525E-3</v>
      </c>
      <c r="D123" s="3">
        <v>99.299486000000002</v>
      </c>
      <c r="E123" s="7">
        <f t="shared" si="22"/>
        <v>-5.9760144396980852E-4</v>
      </c>
      <c r="F123" s="3">
        <v>100.139999</v>
      </c>
      <c r="G123" s="7">
        <f t="shared" si="23"/>
        <v>7.7487770630337849E-3</v>
      </c>
      <c r="H123" s="3">
        <v>51.995927000000002</v>
      </c>
      <c r="I123" s="7">
        <f t="shared" si="24"/>
        <v>8.2867691360186679E-3</v>
      </c>
      <c r="J123" s="3">
        <v>39.769088000000004</v>
      </c>
      <c r="K123" s="7">
        <f t="shared" si="25"/>
        <v>3.0037334183439235E-3</v>
      </c>
      <c r="L123" s="3">
        <v>81</v>
      </c>
      <c r="M123" s="7">
        <f t="shared" si="26"/>
        <v>-2.5858761554719001E-3</v>
      </c>
      <c r="N123" s="3">
        <v>14.760997</v>
      </c>
      <c r="O123" s="7">
        <f t="shared" si="27"/>
        <v>1.2244936305566556E-2</v>
      </c>
      <c r="P123" s="3">
        <v>46.258744</v>
      </c>
      <c r="Q123" s="7">
        <f t="shared" si="28"/>
        <v>1.0193050381918312E-2</v>
      </c>
      <c r="R123" s="3">
        <v>7.032438</v>
      </c>
      <c r="S123" s="7">
        <f t="shared" si="29"/>
        <v>1.1267481276826974E-2</v>
      </c>
      <c r="T123" s="3">
        <v>64.456027000000006</v>
      </c>
      <c r="U123" s="7">
        <f t="shared" si="30"/>
        <v>6.1510274893157302E-3</v>
      </c>
      <c r="V123" s="3">
        <v>50.028095</v>
      </c>
      <c r="W123" s="7">
        <f t="shared" si="31"/>
        <v>5.9346978144969587E-3</v>
      </c>
      <c r="X123" s="3">
        <v>148.22415100000001</v>
      </c>
      <c r="Y123" s="7">
        <f t="shared" si="32"/>
        <v>-4.2081674961216287E-3</v>
      </c>
      <c r="Z123" s="3">
        <v>132.570155</v>
      </c>
      <c r="AA123" s="7">
        <f t="shared" si="33"/>
        <v>-8.2058935764006691E-4</v>
      </c>
      <c r="AB123" s="3">
        <v>7.86</v>
      </c>
      <c r="AC123" s="7">
        <f t="shared" si="34"/>
        <v>2.6109660574412663E-2</v>
      </c>
      <c r="AD123" s="3">
        <v>67.779878999999994</v>
      </c>
      <c r="AE123" s="7">
        <f t="shared" si="35"/>
        <v>-1.4514000486032241E-4</v>
      </c>
      <c r="AF123" s="3">
        <v>70.268968000000001</v>
      </c>
      <c r="AG123" s="7">
        <f t="shared" si="36"/>
        <v>-1.4114028583841476E-3</v>
      </c>
      <c r="AH123" s="3">
        <v>12.80805</v>
      </c>
      <c r="AI123" s="7">
        <f t="shared" si="37"/>
        <v>0.1261966672165149</v>
      </c>
      <c r="AJ123" s="3">
        <v>88.465581</v>
      </c>
      <c r="AK123" s="7">
        <f t="shared" si="38"/>
        <v>2.3385214807953858E-3</v>
      </c>
      <c r="AL123" s="3">
        <v>5.84</v>
      </c>
      <c r="AM123" s="7">
        <f t="shared" si="39"/>
        <v>-3.6303630363036299E-2</v>
      </c>
      <c r="AN123" s="3">
        <v>0.2</v>
      </c>
      <c r="AO123" s="7">
        <f t="shared" si="40"/>
        <v>-4.7619047619047561E-2</v>
      </c>
      <c r="AP123" s="3">
        <v>12.02</v>
      </c>
      <c r="AQ123" s="7">
        <f t="shared" si="41"/>
        <v>-3.6086607858861308E-2</v>
      </c>
    </row>
    <row r="124" spans="1:43" x14ac:dyDescent="0.3">
      <c r="A124" s="4">
        <v>42516</v>
      </c>
      <c r="B124" s="3">
        <v>17828.289062</v>
      </c>
      <c r="C124" s="7">
        <f t="shared" si="21"/>
        <v>-1.300769755857023E-3</v>
      </c>
      <c r="D124" s="3">
        <v>99.358862999999999</v>
      </c>
      <c r="E124" s="7">
        <f t="shared" si="22"/>
        <v>7.9301455027114276E-3</v>
      </c>
      <c r="F124" s="3">
        <v>99.370002999999997</v>
      </c>
      <c r="G124" s="7">
        <f t="shared" si="23"/>
        <v>-2.4093765444295201E-3</v>
      </c>
      <c r="H124" s="3">
        <v>51.56859</v>
      </c>
      <c r="I124" s="7">
        <f t="shared" si="24"/>
        <v>-4.4128863037194987E-3</v>
      </c>
      <c r="J124" s="3">
        <v>39.649990000000003</v>
      </c>
      <c r="K124" s="7">
        <f t="shared" si="25"/>
        <v>-4.4854407402673546E-3</v>
      </c>
      <c r="L124" s="3">
        <v>81.209998999999996</v>
      </c>
      <c r="M124" s="7">
        <f t="shared" si="26"/>
        <v>8.6945346244060584E-3</v>
      </c>
      <c r="N124" s="3">
        <v>14.582436</v>
      </c>
      <c r="O124" s="7">
        <f t="shared" si="27"/>
        <v>-1.4745339013884307E-2</v>
      </c>
      <c r="P124" s="3">
        <v>45.791983999999999</v>
      </c>
      <c r="Q124" s="7">
        <f t="shared" si="28"/>
        <v>-1.768211425292876E-2</v>
      </c>
      <c r="R124" s="3">
        <v>6.9540829999999998</v>
      </c>
      <c r="S124" s="7">
        <f t="shared" si="29"/>
        <v>5.6657322117945608E-3</v>
      </c>
      <c r="T124" s="3">
        <v>64.061980000000005</v>
      </c>
      <c r="U124" s="7">
        <f t="shared" si="30"/>
        <v>-7.4786019558171768E-3</v>
      </c>
      <c r="V124" s="3">
        <v>49.732945000000001</v>
      </c>
      <c r="W124" s="7">
        <f t="shared" si="31"/>
        <v>9.9008219064922187E-4</v>
      </c>
      <c r="X124" s="3">
        <v>148.850539</v>
      </c>
      <c r="Y124" s="7">
        <f t="shared" si="32"/>
        <v>3.5768740043417679E-2</v>
      </c>
      <c r="Z124" s="3">
        <v>132.67903000000001</v>
      </c>
      <c r="AA124" s="7">
        <f t="shared" si="33"/>
        <v>6.3814211347319461E-3</v>
      </c>
      <c r="AB124" s="3">
        <v>7.66</v>
      </c>
      <c r="AC124" s="7">
        <f t="shared" si="34"/>
        <v>-3.1605562579013924E-2</v>
      </c>
      <c r="AD124" s="3">
        <v>67.789717999999993</v>
      </c>
      <c r="AE124" s="7">
        <f t="shared" si="35"/>
        <v>-5.3405759435095623E-3</v>
      </c>
      <c r="AF124" s="3">
        <v>70.368285999999998</v>
      </c>
      <c r="AG124" s="7">
        <f t="shared" si="36"/>
        <v>5.2496394791563539E-3</v>
      </c>
      <c r="AH124" s="3">
        <v>11.372836</v>
      </c>
      <c r="AI124" s="7">
        <f t="shared" si="37"/>
        <v>-0.25775189890138783</v>
      </c>
      <c r="AJ124" s="3">
        <v>88.259185000000002</v>
      </c>
      <c r="AK124" s="7">
        <f t="shared" si="38"/>
        <v>-5.0963749360833921E-3</v>
      </c>
      <c r="AL124" s="3">
        <v>6.06</v>
      </c>
      <c r="AM124" s="7">
        <f t="shared" si="39"/>
        <v>-2.1001615508885463E-2</v>
      </c>
      <c r="AN124" s="3">
        <v>0.21</v>
      </c>
      <c r="AO124" s="7">
        <f t="shared" si="40"/>
        <v>-8.6956521739130488E-2</v>
      </c>
      <c r="AP124" s="3">
        <v>12.47</v>
      </c>
      <c r="AQ124" s="7">
        <f t="shared" si="41"/>
        <v>-1.6561514195583493E-2</v>
      </c>
    </row>
    <row r="125" spans="1:43" x14ac:dyDescent="0.3">
      <c r="A125" s="4">
        <v>42515</v>
      </c>
      <c r="B125" s="3">
        <v>17851.509765999999</v>
      </c>
      <c r="C125" s="7">
        <f t="shared" si="21"/>
        <v>8.2152133640149838E-3</v>
      </c>
      <c r="D125" s="3">
        <v>98.577132000000006</v>
      </c>
      <c r="E125" s="7">
        <f t="shared" si="22"/>
        <v>1.7568955799257546E-2</v>
      </c>
      <c r="F125" s="3">
        <v>99.610000999999997</v>
      </c>
      <c r="G125" s="7">
        <f t="shared" si="23"/>
        <v>-2.007026056620731E-4</v>
      </c>
      <c r="H125" s="3">
        <v>51.797165</v>
      </c>
      <c r="I125" s="7">
        <f t="shared" si="24"/>
        <v>1.0273286274516513E-2</v>
      </c>
      <c r="J125" s="3">
        <v>39.828639000000003</v>
      </c>
      <c r="K125" s="7">
        <f t="shared" si="25"/>
        <v>5.7643910219318251E-3</v>
      </c>
      <c r="L125" s="3">
        <v>80.510002</v>
      </c>
      <c r="M125" s="7">
        <f t="shared" si="26"/>
        <v>1.2067868809508386E-2</v>
      </c>
      <c r="N125" s="3">
        <v>14.800677</v>
      </c>
      <c r="O125" s="7">
        <f t="shared" si="27"/>
        <v>1.6348732303723024E-2</v>
      </c>
      <c r="P125" s="3">
        <v>46.616258000000002</v>
      </c>
      <c r="Q125" s="7">
        <f t="shared" si="28"/>
        <v>2.3549905071409638E-2</v>
      </c>
      <c r="R125" s="3">
        <v>6.9149050000000001</v>
      </c>
      <c r="S125" s="7">
        <f t="shared" si="29"/>
        <v>4.9034185027292621E-2</v>
      </c>
      <c r="T125" s="3">
        <v>64.544684000000004</v>
      </c>
      <c r="U125" s="7">
        <f t="shared" si="30"/>
        <v>1.5184318865159918E-2</v>
      </c>
      <c r="V125" s="3">
        <v>49.683754</v>
      </c>
      <c r="W125" s="7">
        <f t="shared" si="31"/>
        <v>2.6422748817280794E-2</v>
      </c>
      <c r="X125" s="3">
        <v>143.710206</v>
      </c>
      <c r="Y125" s="7">
        <f t="shared" si="32"/>
        <v>1.381767096270492E-2</v>
      </c>
      <c r="Z125" s="3">
        <v>131.837718</v>
      </c>
      <c r="AA125" s="7">
        <f t="shared" si="33"/>
        <v>-1.1997855845496952E-3</v>
      </c>
      <c r="AB125" s="3">
        <v>7.91</v>
      </c>
      <c r="AC125" s="7">
        <f t="shared" si="34"/>
        <v>1.0217113665389466E-2</v>
      </c>
      <c r="AD125" s="3">
        <v>68.153698000000006</v>
      </c>
      <c r="AE125" s="7">
        <f t="shared" si="35"/>
        <v>8.5892512506493546E-3</v>
      </c>
      <c r="AF125" s="3">
        <v>70.000806999999995</v>
      </c>
      <c r="AG125" s="7">
        <f t="shared" si="36"/>
        <v>3.4169393146021854E-3</v>
      </c>
      <c r="AH125" s="3">
        <v>15.322149</v>
      </c>
      <c r="AI125" s="7">
        <f t="shared" si="37"/>
        <v>9.0909032656039335E-2</v>
      </c>
      <c r="AJ125" s="3">
        <v>88.711291000000003</v>
      </c>
      <c r="AK125" s="7">
        <f t="shared" si="38"/>
        <v>6.5797199139363549E-3</v>
      </c>
      <c r="AL125" s="3">
        <v>6.19</v>
      </c>
      <c r="AM125" s="7">
        <f t="shared" si="39"/>
        <v>1.6181229773464256E-3</v>
      </c>
      <c r="AN125" s="3">
        <v>0.23</v>
      </c>
      <c r="AO125" s="7">
        <f t="shared" si="40"/>
        <v>0</v>
      </c>
      <c r="AP125" s="3">
        <v>12.68</v>
      </c>
      <c r="AQ125" s="7">
        <f t="shared" si="41"/>
        <v>0.14234234234234244</v>
      </c>
    </row>
    <row r="126" spans="1:43" x14ac:dyDescent="0.3">
      <c r="A126" s="4">
        <v>42514</v>
      </c>
      <c r="B126" s="3">
        <v>17706.050781000002</v>
      </c>
      <c r="C126" s="7">
        <f t="shared" si="21"/>
        <v>1.2183270429892534E-2</v>
      </c>
      <c r="D126" s="3">
        <v>96.875136999999995</v>
      </c>
      <c r="E126" s="7">
        <f t="shared" si="22"/>
        <v>1.5244236135194544E-2</v>
      </c>
      <c r="F126" s="3">
        <v>99.629997000000003</v>
      </c>
      <c r="G126" s="7">
        <f t="shared" si="23"/>
        <v>3.1152907333277691E-2</v>
      </c>
      <c r="H126" s="3">
        <v>51.270448999999999</v>
      </c>
      <c r="I126" s="7">
        <f t="shared" si="24"/>
        <v>3.1181326831336564E-2</v>
      </c>
      <c r="J126" s="3">
        <v>39.600366999999999</v>
      </c>
      <c r="K126" s="7">
        <f t="shared" si="25"/>
        <v>1.8376772872093161E-2</v>
      </c>
      <c r="L126" s="3">
        <v>79.550003000000004</v>
      </c>
      <c r="M126" s="7">
        <f t="shared" si="26"/>
        <v>2.0526055953536515E-2</v>
      </c>
      <c r="N126" s="3">
        <v>14.562597</v>
      </c>
      <c r="O126" s="7">
        <f t="shared" si="27"/>
        <v>1.4512818340681077E-2</v>
      </c>
      <c r="P126" s="3">
        <v>45.543708000000002</v>
      </c>
      <c r="Q126" s="7">
        <f t="shared" si="28"/>
        <v>1.662601795790386E-2</v>
      </c>
      <c r="R126" s="3">
        <v>6.5916870000000003</v>
      </c>
      <c r="S126" s="7">
        <f t="shared" si="29"/>
        <v>5.9790837372373229E-3</v>
      </c>
      <c r="T126" s="3">
        <v>63.579276</v>
      </c>
      <c r="U126" s="7">
        <f t="shared" si="30"/>
        <v>1.7018619954641157E-2</v>
      </c>
      <c r="V126" s="3">
        <v>48.404767</v>
      </c>
      <c r="W126" s="7">
        <f t="shared" si="31"/>
        <v>1.026693278039037E-2</v>
      </c>
      <c r="X126" s="3">
        <v>141.75153</v>
      </c>
      <c r="Y126" s="7">
        <f t="shared" si="32"/>
        <v>3.943475738174218E-3</v>
      </c>
      <c r="Z126" s="3">
        <v>131.99608499999999</v>
      </c>
      <c r="AA126" s="7">
        <f t="shared" si="33"/>
        <v>1.4761855658714129E-2</v>
      </c>
      <c r="AB126" s="3">
        <v>7.83</v>
      </c>
      <c r="AC126" s="7">
        <f t="shared" si="34"/>
        <v>1.953125E-2</v>
      </c>
      <c r="AD126" s="3">
        <v>67.573294000000004</v>
      </c>
      <c r="AE126" s="7">
        <f t="shared" si="35"/>
        <v>1.118802486117354E-2</v>
      </c>
      <c r="AF126" s="3">
        <v>69.762433000000001</v>
      </c>
      <c r="AG126" s="7">
        <f t="shared" si="36"/>
        <v>1.064744270566953E-2</v>
      </c>
      <c r="AH126" s="3">
        <v>14.045304</v>
      </c>
      <c r="AI126" s="7">
        <f t="shared" si="37"/>
        <v>-1.3212825890037139E-2</v>
      </c>
      <c r="AJ126" s="3">
        <v>88.131411</v>
      </c>
      <c r="AK126" s="7">
        <f t="shared" si="38"/>
        <v>7.8125095812509038E-4</v>
      </c>
      <c r="AL126" s="3">
        <v>6.18</v>
      </c>
      <c r="AM126" s="7">
        <f t="shared" si="39"/>
        <v>4.8780487804878092E-3</v>
      </c>
      <c r="AN126" s="3">
        <v>0.23</v>
      </c>
      <c r="AO126" s="7">
        <f t="shared" si="40"/>
        <v>-4.166666666666663E-2</v>
      </c>
      <c r="AP126" s="3">
        <v>11.1</v>
      </c>
      <c r="AQ126" s="7">
        <f t="shared" si="41"/>
        <v>-2.6315789473684292E-2</v>
      </c>
    </row>
    <row r="127" spans="1:43" x14ac:dyDescent="0.3">
      <c r="A127" s="4">
        <v>42513</v>
      </c>
      <c r="B127" s="3">
        <v>17492.929688</v>
      </c>
      <c r="C127" s="7">
        <f t="shared" si="21"/>
        <v>-4.5767628769355362E-4</v>
      </c>
      <c r="D127" s="3">
        <v>95.420524</v>
      </c>
      <c r="E127" s="7">
        <f t="shared" si="22"/>
        <v>1.270740222852984E-2</v>
      </c>
      <c r="F127" s="3">
        <v>96.620002999999997</v>
      </c>
      <c r="G127" s="7">
        <f t="shared" si="23"/>
        <v>-2.6836706033341873E-3</v>
      </c>
      <c r="H127" s="3">
        <v>49.720109999999998</v>
      </c>
      <c r="I127" s="7">
        <f t="shared" si="24"/>
        <v>-1.165548215123724E-2</v>
      </c>
      <c r="J127" s="3">
        <v>38.885772000000003</v>
      </c>
      <c r="K127" s="7">
        <f t="shared" si="25"/>
        <v>-5.8360877786992615E-3</v>
      </c>
      <c r="L127" s="3">
        <v>77.949996999999996</v>
      </c>
      <c r="M127" s="7">
        <f t="shared" si="26"/>
        <v>2.9592897200296786E-3</v>
      </c>
      <c r="N127" s="3">
        <v>14.354276</v>
      </c>
      <c r="O127" s="7">
        <f t="shared" si="27"/>
        <v>-3.4435867509837736E-3</v>
      </c>
      <c r="P127" s="3">
        <v>44.798881000000002</v>
      </c>
      <c r="Q127" s="7">
        <f t="shared" si="28"/>
        <v>4.6770454490918656E-3</v>
      </c>
      <c r="R127" s="3">
        <v>6.5525089999999997</v>
      </c>
      <c r="S127" s="7">
        <f t="shared" si="29"/>
        <v>6.015048214193186E-3</v>
      </c>
      <c r="T127" s="3">
        <v>62.515351000000003</v>
      </c>
      <c r="U127" s="7">
        <f t="shared" si="30"/>
        <v>-7.8726620607172393E-4</v>
      </c>
      <c r="V127" s="3">
        <v>47.912849000000001</v>
      </c>
      <c r="W127" s="7">
        <f t="shared" si="31"/>
        <v>-1.0256235973282735E-3</v>
      </c>
      <c r="X127" s="3">
        <v>141.19473199999999</v>
      </c>
      <c r="Y127" s="7">
        <f t="shared" si="32"/>
        <v>-4.7656306191077302E-3</v>
      </c>
      <c r="Z127" s="3">
        <v>130.07592299999999</v>
      </c>
      <c r="AA127" s="7">
        <f t="shared" si="33"/>
        <v>-3.2613486367141231E-3</v>
      </c>
      <c r="AB127" s="3">
        <v>7.68</v>
      </c>
      <c r="AC127" s="7">
        <f t="shared" si="34"/>
        <v>-7.7519379844961378E-3</v>
      </c>
      <c r="AD127" s="3">
        <v>66.825647000000004</v>
      </c>
      <c r="AE127" s="7">
        <f t="shared" si="35"/>
        <v>-1.0632140794247902E-2</v>
      </c>
      <c r="AF127" s="3">
        <v>69.027467000000001</v>
      </c>
      <c r="AG127" s="7">
        <f t="shared" si="36"/>
        <v>-5.153172831830255E-3</v>
      </c>
      <c r="AH127" s="3">
        <v>14.233366999999999</v>
      </c>
      <c r="AI127" s="7">
        <f t="shared" si="37"/>
        <v>-1.4393377293131282E-2</v>
      </c>
      <c r="AJ127" s="3">
        <v>88.062612000000001</v>
      </c>
      <c r="AK127" s="7">
        <f t="shared" si="38"/>
        <v>-1.5600529926181883E-3</v>
      </c>
      <c r="AL127" s="3">
        <v>6.15</v>
      </c>
      <c r="AM127" s="7">
        <f t="shared" si="39"/>
        <v>-4.6511627906976716E-2</v>
      </c>
      <c r="AN127" s="3">
        <v>0.24</v>
      </c>
      <c r="AO127" s="7">
        <f t="shared" si="40"/>
        <v>-0.11111111111111116</v>
      </c>
      <c r="AP127" s="3">
        <v>11.4</v>
      </c>
      <c r="AQ127" s="7">
        <f t="shared" si="41"/>
        <v>1.243339253996445E-2</v>
      </c>
    </row>
    <row r="128" spans="1:43" x14ac:dyDescent="0.3">
      <c r="A128" s="4">
        <v>42510</v>
      </c>
      <c r="B128" s="3">
        <v>17500.939452999999</v>
      </c>
      <c r="C128" s="7">
        <f t="shared" si="21"/>
        <v>3.7589651244160915E-3</v>
      </c>
      <c r="D128" s="3">
        <v>94.223191999999997</v>
      </c>
      <c r="E128" s="7">
        <f t="shared" si="22"/>
        <v>1.0828067146147591E-2</v>
      </c>
      <c r="F128" s="3">
        <v>96.879997000000003</v>
      </c>
      <c r="G128" s="7">
        <f t="shared" si="23"/>
        <v>1.0429704122748351E-2</v>
      </c>
      <c r="H128" s="3">
        <v>50.306455999999997</v>
      </c>
      <c r="I128" s="7">
        <f t="shared" si="24"/>
        <v>5.9618285479123845E-3</v>
      </c>
      <c r="J128" s="3">
        <v>39.114044999999997</v>
      </c>
      <c r="K128" s="7">
        <f t="shared" si="25"/>
        <v>1.4675605230577426E-2</v>
      </c>
      <c r="L128" s="3">
        <v>77.720000999999996</v>
      </c>
      <c r="M128" s="7">
        <f t="shared" si="26"/>
        <v>1.1979140157064805E-2</v>
      </c>
      <c r="N128" s="3">
        <v>14.403877</v>
      </c>
      <c r="O128" s="7">
        <f t="shared" si="27"/>
        <v>-6.8816014879080623E-4</v>
      </c>
      <c r="P128" s="3">
        <v>44.590330000000002</v>
      </c>
      <c r="Q128" s="7">
        <f t="shared" si="28"/>
        <v>-3.5508100184793445E-3</v>
      </c>
      <c r="R128" s="3">
        <v>6.513331</v>
      </c>
      <c r="S128" s="7">
        <f t="shared" si="29"/>
        <v>4.5318075548737013E-3</v>
      </c>
      <c r="T128" s="3">
        <v>62.564605999999998</v>
      </c>
      <c r="U128" s="7">
        <f t="shared" si="30"/>
        <v>1.8930316759848687E-3</v>
      </c>
      <c r="V128" s="3">
        <v>47.962040000000002</v>
      </c>
      <c r="W128" s="7">
        <f t="shared" si="31"/>
        <v>7.6477759442981075E-3</v>
      </c>
      <c r="X128" s="3">
        <v>141.870836</v>
      </c>
      <c r="Y128" s="7">
        <f t="shared" si="32"/>
        <v>-7.0037678748802179E-5</v>
      </c>
      <c r="Z128" s="3">
        <v>130.50153399999999</v>
      </c>
      <c r="AA128" s="7">
        <f t="shared" si="33"/>
        <v>9.1103308596385268E-4</v>
      </c>
      <c r="AB128" s="3">
        <v>7.74</v>
      </c>
      <c r="AC128" s="7">
        <f t="shared" si="34"/>
        <v>1.8421052631579116E-2</v>
      </c>
      <c r="AD128" s="3">
        <v>67.543781999999993</v>
      </c>
      <c r="AE128" s="7">
        <f t="shared" si="35"/>
        <v>2.3859315721918017E-2</v>
      </c>
      <c r="AF128" s="3">
        <v>69.385019999999997</v>
      </c>
      <c r="AG128" s="7">
        <f t="shared" si="36"/>
        <v>9.5376362608063925E-3</v>
      </c>
      <c r="AH128" s="3">
        <v>14.441224999999999</v>
      </c>
      <c r="AI128" s="7">
        <f t="shared" si="37"/>
        <v>3.8434119532899658E-2</v>
      </c>
      <c r="AJ128" s="3">
        <v>88.200209000000001</v>
      </c>
      <c r="AK128" s="7">
        <f t="shared" si="38"/>
        <v>-4.1061329483094156E-3</v>
      </c>
      <c r="AL128" s="3">
        <v>6.45</v>
      </c>
      <c r="AM128" s="7">
        <f t="shared" si="39"/>
        <v>4.6728971962617383E-3</v>
      </c>
      <c r="AN128" s="3">
        <v>0.27</v>
      </c>
      <c r="AO128" s="7">
        <f t="shared" si="40"/>
        <v>0</v>
      </c>
      <c r="AP128" s="3">
        <v>11.26</v>
      </c>
      <c r="AQ128" s="7">
        <f t="shared" si="41"/>
        <v>4.460303300624302E-3</v>
      </c>
    </row>
    <row r="129" spans="1:43" x14ac:dyDescent="0.3">
      <c r="A129" s="4">
        <v>42509</v>
      </c>
      <c r="B129" s="3">
        <v>17435.400390999999</v>
      </c>
      <c r="C129" s="7">
        <f t="shared" si="21"/>
        <v>-5.2045833406976216E-3</v>
      </c>
      <c r="D129" s="3">
        <v>93.213865999999996</v>
      </c>
      <c r="E129" s="7">
        <f t="shared" si="22"/>
        <v>-3.8071136785600146E-3</v>
      </c>
      <c r="F129" s="3">
        <v>95.879997000000003</v>
      </c>
      <c r="G129" s="7">
        <f t="shared" si="23"/>
        <v>-8.4798348028903847E-3</v>
      </c>
      <c r="H129" s="3">
        <v>50.008315000000003</v>
      </c>
      <c r="I129" s="7">
        <f t="shared" si="24"/>
        <v>-9.6437922585279612E-3</v>
      </c>
      <c r="J129" s="3">
        <v>38.548324999999998</v>
      </c>
      <c r="K129" s="7">
        <f t="shared" si="25"/>
        <v>-1.5961516935068087E-2</v>
      </c>
      <c r="L129" s="3">
        <v>76.800003000000004</v>
      </c>
      <c r="M129" s="7">
        <f t="shared" si="26"/>
        <v>-9.2878486566504437E-3</v>
      </c>
      <c r="N129" s="3">
        <v>14.413796</v>
      </c>
      <c r="O129" s="7">
        <f t="shared" si="27"/>
        <v>-1.0891736197098711E-2</v>
      </c>
      <c r="P129" s="3">
        <v>44.749226</v>
      </c>
      <c r="Q129" s="7">
        <f t="shared" si="28"/>
        <v>-1.7658567686734461E-2</v>
      </c>
      <c r="R129" s="3">
        <v>6.4839469999999997</v>
      </c>
      <c r="S129" s="7">
        <f t="shared" si="29"/>
        <v>-3.6390095186235816E-2</v>
      </c>
      <c r="T129" s="3">
        <v>62.446393</v>
      </c>
      <c r="U129" s="7">
        <f t="shared" si="30"/>
        <v>-1.0149933459053462E-2</v>
      </c>
      <c r="V129" s="3">
        <v>47.598021000000003</v>
      </c>
      <c r="W129" s="7">
        <f t="shared" si="31"/>
        <v>-5.5498475597048902E-3</v>
      </c>
      <c r="X129" s="3">
        <v>141.880773</v>
      </c>
      <c r="Y129" s="7">
        <f t="shared" si="32"/>
        <v>9.9795012579260156E-3</v>
      </c>
      <c r="Z129" s="3">
        <v>130.38275100000001</v>
      </c>
      <c r="AA129" s="7">
        <f t="shared" si="33"/>
        <v>-3.0362127350092027E-4</v>
      </c>
      <c r="AB129" s="3">
        <v>7.6</v>
      </c>
      <c r="AC129" s="7">
        <f t="shared" si="34"/>
        <v>4.1095890410958846E-2</v>
      </c>
      <c r="AD129" s="3">
        <v>65.969787999999994</v>
      </c>
      <c r="AE129" s="7">
        <f t="shared" si="35"/>
        <v>-1.3823571079653263E-2</v>
      </c>
      <c r="AF129" s="3">
        <v>68.729502999999994</v>
      </c>
      <c r="AG129" s="7">
        <f t="shared" si="36"/>
        <v>9.580356336276008E-2</v>
      </c>
      <c r="AH129" s="3">
        <v>13.906732</v>
      </c>
      <c r="AI129" s="7">
        <f t="shared" si="37"/>
        <v>-3.6351126961505331E-2</v>
      </c>
      <c r="AJ129" s="3">
        <v>88.563863999999995</v>
      </c>
      <c r="AK129" s="7">
        <f t="shared" si="38"/>
        <v>8.5059024286691098E-3</v>
      </c>
      <c r="AL129" s="3">
        <v>6.42</v>
      </c>
      <c r="AM129" s="7">
        <f t="shared" si="39"/>
        <v>-4.8888888888888871E-2</v>
      </c>
      <c r="AN129" s="3">
        <v>0.27</v>
      </c>
      <c r="AO129" s="7">
        <f t="shared" si="40"/>
        <v>-0.12903225806451601</v>
      </c>
      <c r="AP129" s="3">
        <v>11.21</v>
      </c>
      <c r="AQ129" s="7">
        <f t="shared" si="41"/>
        <v>-2.669039145907437E-3</v>
      </c>
    </row>
    <row r="130" spans="1:43" x14ac:dyDescent="0.3">
      <c r="A130" s="4">
        <v>42508</v>
      </c>
      <c r="B130" s="3">
        <v>17526.619140999999</v>
      </c>
      <c r="C130" s="7">
        <f t="shared" si="21"/>
        <v>-1.9174738990401785E-4</v>
      </c>
      <c r="D130" s="3">
        <v>93.570098000000002</v>
      </c>
      <c r="E130" s="7">
        <f t="shared" si="22"/>
        <v>1.1445077643975177E-2</v>
      </c>
      <c r="F130" s="3">
        <v>96.699996999999996</v>
      </c>
      <c r="G130" s="7">
        <f t="shared" si="23"/>
        <v>8.0266548524965398E-3</v>
      </c>
      <c r="H130" s="3">
        <v>50.495280999999999</v>
      </c>
      <c r="I130" s="7">
        <f t="shared" si="24"/>
        <v>5.9394622446296008E-3</v>
      </c>
      <c r="J130" s="3">
        <v>39.173594999999999</v>
      </c>
      <c r="K130" s="7">
        <f t="shared" si="25"/>
        <v>-3.2827585827874817E-3</v>
      </c>
      <c r="L130" s="3">
        <v>77.519997000000004</v>
      </c>
      <c r="M130" s="7">
        <f t="shared" si="26"/>
        <v>7.2764813835302089E-3</v>
      </c>
      <c r="N130" s="3">
        <v>14.572516</v>
      </c>
      <c r="O130" s="7">
        <f t="shared" si="27"/>
        <v>4.853670917771713E-2</v>
      </c>
      <c r="P130" s="3">
        <v>45.553637999999999</v>
      </c>
      <c r="Q130" s="7">
        <f t="shared" si="28"/>
        <v>4.9656710171750662E-2</v>
      </c>
      <c r="R130" s="3">
        <v>6.728809</v>
      </c>
      <c r="S130" s="7">
        <f t="shared" si="29"/>
        <v>1.3274284976837247E-2</v>
      </c>
      <c r="T130" s="3">
        <v>63.086719000000002</v>
      </c>
      <c r="U130" s="7">
        <f t="shared" si="30"/>
        <v>3.8598784442024803E-2</v>
      </c>
      <c r="V130" s="3">
        <v>47.863657000000003</v>
      </c>
      <c r="W130" s="7">
        <f t="shared" si="31"/>
        <v>2.1629614647316275E-2</v>
      </c>
      <c r="X130" s="3">
        <v>140.47886399999999</v>
      </c>
      <c r="Y130" s="7">
        <f t="shared" si="32"/>
        <v>-1.6086444340748129E-2</v>
      </c>
      <c r="Z130" s="3">
        <v>130.42234999999999</v>
      </c>
      <c r="AA130" s="7">
        <f t="shared" si="33"/>
        <v>-1.7423881530556073E-3</v>
      </c>
      <c r="AB130" s="3">
        <v>7.3</v>
      </c>
      <c r="AC130" s="7">
        <f t="shared" si="34"/>
        <v>5.5096418732782926E-3</v>
      </c>
      <c r="AD130" s="3">
        <v>66.894508999999999</v>
      </c>
      <c r="AE130" s="7">
        <f t="shared" si="35"/>
        <v>-7.6212471227318446E-2</v>
      </c>
      <c r="AF130" s="3">
        <v>62.720641999999998</v>
      </c>
      <c r="AG130" s="7">
        <f t="shared" si="36"/>
        <v>-2.9953873324995994E-2</v>
      </c>
      <c r="AH130" s="3">
        <v>14.431327</v>
      </c>
      <c r="AI130" s="7">
        <f t="shared" si="37"/>
        <v>-5.5699448724451095E-2</v>
      </c>
      <c r="AJ130" s="3">
        <v>87.816901999999999</v>
      </c>
      <c r="AK130" s="7">
        <f t="shared" si="38"/>
        <v>-2.0105049657240803E-3</v>
      </c>
      <c r="AL130" s="3">
        <v>6.75</v>
      </c>
      <c r="AM130" s="7">
        <f t="shared" si="39"/>
        <v>-4.7954866008462549E-2</v>
      </c>
      <c r="AN130" s="3">
        <v>0.31</v>
      </c>
      <c r="AO130" s="7">
        <f t="shared" si="40"/>
        <v>-6.0606060606060663E-2</v>
      </c>
      <c r="AP130" s="3">
        <v>11.24</v>
      </c>
      <c r="AQ130" s="7">
        <f t="shared" si="41"/>
        <v>-4.095563139931746E-2</v>
      </c>
    </row>
    <row r="131" spans="1:43" x14ac:dyDescent="0.3">
      <c r="A131" s="4">
        <v>42507</v>
      </c>
      <c r="B131" s="3">
        <v>17529.980468999998</v>
      </c>
      <c r="C131" s="7">
        <f t="shared" si="21"/>
        <v>-1.0204585780474118E-2</v>
      </c>
      <c r="D131" s="3">
        <v>92.511298999999994</v>
      </c>
      <c r="E131" s="7">
        <f t="shared" si="22"/>
        <v>-4.154236441272996E-3</v>
      </c>
      <c r="F131" s="3">
        <v>95.93</v>
      </c>
      <c r="G131" s="7">
        <f t="shared" si="23"/>
        <v>-1.3370389384848469E-2</v>
      </c>
      <c r="H131" s="3">
        <v>50.197136999999998</v>
      </c>
      <c r="I131" s="7">
        <f t="shared" si="24"/>
        <v>-1.8651647817936379E-2</v>
      </c>
      <c r="J131" s="3">
        <v>39.302616</v>
      </c>
      <c r="K131" s="7">
        <f t="shared" si="25"/>
        <v>-9.257032313288005E-3</v>
      </c>
      <c r="L131" s="3">
        <v>76.959998999999996</v>
      </c>
      <c r="M131" s="7">
        <f t="shared" si="26"/>
        <v>-1.1178247175170242E-2</v>
      </c>
      <c r="N131" s="3">
        <v>13.897955</v>
      </c>
      <c r="O131" s="7">
        <f t="shared" si="27"/>
        <v>5.7429861718936159E-3</v>
      </c>
      <c r="P131" s="3">
        <v>43.398606000000001</v>
      </c>
      <c r="Q131" s="7">
        <f t="shared" si="28"/>
        <v>1.2746217248042147E-2</v>
      </c>
      <c r="R131" s="3">
        <v>6.6406590000000003</v>
      </c>
      <c r="S131" s="7">
        <f t="shared" si="29"/>
        <v>-7.3207315439771659E-3</v>
      </c>
      <c r="T131" s="3">
        <v>60.742145999999998</v>
      </c>
      <c r="U131" s="7">
        <f t="shared" si="30"/>
        <v>0</v>
      </c>
      <c r="V131" s="3">
        <v>46.850302999999997</v>
      </c>
      <c r="W131" s="7">
        <f t="shared" si="31"/>
        <v>-1.3465944833035537E-2</v>
      </c>
      <c r="X131" s="3">
        <v>142.77561600000001</v>
      </c>
      <c r="Y131" s="7">
        <f t="shared" si="32"/>
        <v>-1.5021514210499798E-2</v>
      </c>
      <c r="Z131" s="3">
        <v>130.64999299999999</v>
      </c>
      <c r="AA131" s="7">
        <f t="shared" si="33"/>
        <v>-2.4678567370464033E-2</v>
      </c>
      <c r="AB131" s="3">
        <v>7.26</v>
      </c>
      <c r="AC131" s="7">
        <f t="shared" si="34"/>
        <v>-1.7591339648173165E-2</v>
      </c>
      <c r="AD131" s="3">
        <v>72.413306000000006</v>
      </c>
      <c r="AE131" s="7">
        <f t="shared" si="35"/>
        <v>-1.3403032048331931E-2</v>
      </c>
      <c r="AF131" s="3">
        <v>64.657381000000001</v>
      </c>
      <c r="AG131" s="7">
        <f t="shared" si="36"/>
        <v>-1.3935143158442687E-2</v>
      </c>
      <c r="AH131" s="3">
        <v>15.282557000000001</v>
      </c>
      <c r="AI131" s="7">
        <f t="shared" si="37"/>
        <v>1.3123320430767915E-2</v>
      </c>
      <c r="AJ131" s="3">
        <v>87.993814</v>
      </c>
      <c r="AK131" s="7">
        <f t="shared" si="38"/>
        <v>-4.4658188222057582E-4</v>
      </c>
      <c r="AL131" s="3">
        <v>7.09</v>
      </c>
      <c r="AM131" s="7">
        <f t="shared" si="39"/>
        <v>-8.3916083916084627E-3</v>
      </c>
      <c r="AN131" s="3">
        <v>0.33</v>
      </c>
      <c r="AO131" s="7">
        <f t="shared" si="40"/>
        <v>0</v>
      </c>
      <c r="AP131" s="3">
        <v>11.72</v>
      </c>
      <c r="AQ131" s="7">
        <f t="shared" si="41"/>
        <v>2.8972783143107916E-2</v>
      </c>
    </row>
    <row r="132" spans="1:43" x14ac:dyDescent="0.3">
      <c r="A132" s="4">
        <v>42506</v>
      </c>
      <c r="B132" s="3">
        <v>17710.710938</v>
      </c>
      <c r="C132" s="7">
        <f t="shared" si="21"/>
        <v>1.0002134142937491E-2</v>
      </c>
      <c r="D132" s="3">
        <v>92.897216</v>
      </c>
      <c r="E132" s="7">
        <f t="shared" si="22"/>
        <v>3.7118871116423202E-2</v>
      </c>
      <c r="F132" s="3">
        <v>97.230002999999996</v>
      </c>
      <c r="G132" s="7">
        <f t="shared" si="23"/>
        <v>1.3129123547680255E-2</v>
      </c>
      <c r="H132" s="3">
        <v>51.151190999999997</v>
      </c>
      <c r="I132" s="7">
        <f t="shared" si="24"/>
        <v>1.4682842920001438E-2</v>
      </c>
      <c r="J132" s="3">
        <v>39.669840999999998</v>
      </c>
      <c r="K132" s="7">
        <f t="shared" si="25"/>
        <v>9.0886514260855034E-3</v>
      </c>
      <c r="L132" s="3">
        <v>77.830001999999993</v>
      </c>
      <c r="M132" s="7">
        <f t="shared" si="26"/>
        <v>1.0385603146638944E-2</v>
      </c>
      <c r="N132" s="3">
        <v>13.818595</v>
      </c>
      <c r="O132" s="7">
        <f t="shared" si="27"/>
        <v>3.6022963186492785E-3</v>
      </c>
      <c r="P132" s="3">
        <v>42.852400000000003</v>
      </c>
      <c r="Q132" s="7">
        <f t="shared" si="28"/>
        <v>9.2787941888716752E-4</v>
      </c>
      <c r="R132" s="3">
        <v>6.6896319999999996</v>
      </c>
      <c r="S132" s="7">
        <f t="shared" si="29"/>
        <v>1.3353215740528501E-2</v>
      </c>
      <c r="T132" s="3">
        <v>60.742145999999998</v>
      </c>
      <c r="U132" s="7">
        <f t="shared" si="30"/>
        <v>7.5163304267440445E-3</v>
      </c>
      <c r="V132" s="3">
        <v>47.489798</v>
      </c>
      <c r="W132" s="7">
        <f t="shared" si="31"/>
        <v>6.2184624470762451E-4</v>
      </c>
      <c r="X132" s="3">
        <v>144.95303000000001</v>
      </c>
      <c r="Y132" s="7">
        <f t="shared" si="32"/>
        <v>8.9272850644721569E-3</v>
      </c>
      <c r="Z132" s="3">
        <v>133.95583099999999</v>
      </c>
      <c r="AA132" s="7">
        <f t="shared" si="33"/>
        <v>1.6600257113158046E-2</v>
      </c>
      <c r="AB132" s="3">
        <v>7.39</v>
      </c>
      <c r="AC132" s="7">
        <f t="shared" si="34"/>
        <v>-2.5065963060686092E-2</v>
      </c>
      <c r="AD132" s="3">
        <v>73.397048999999996</v>
      </c>
      <c r="AE132" s="7">
        <f t="shared" si="35"/>
        <v>1.7594119455933921E-2</v>
      </c>
      <c r="AF132" s="3">
        <v>65.571123999999998</v>
      </c>
      <c r="AG132" s="7">
        <f t="shared" si="36"/>
        <v>1.6630641782790612E-2</v>
      </c>
      <c r="AH132" s="3">
        <v>15.084597</v>
      </c>
      <c r="AI132" s="7">
        <f t="shared" si="37"/>
        <v>4.8864411410030506E-2</v>
      </c>
      <c r="AJ132" s="3">
        <v>88.033128000000005</v>
      </c>
      <c r="AK132" s="7">
        <f t="shared" si="38"/>
        <v>1.0263884219770647E-2</v>
      </c>
      <c r="AL132" s="3">
        <v>7.15</v>
      </c>
      <c r="AM132" s="7">
        <f t="shared" si="39"/>
        <v>3.9244186046511587E-2</v>
      </c>
      <c r="AN132" s="3">
        <v>0.33</v>
      </c>
      <c r="AO132" s="7">
        <f t="shared" si="40"/>
        <v>3.125E-2</v>
      </c>
      <c r="AP132" s="3">
        <v>11.39</v>
      </c>
      <c r="AQ132" s="7">
        <f t="shared" si="41"/>
        <v>7.2504708097928638E-2</v>
      </c>
    </row>
    <row r="133" spans="1:43" x14ac:dyDescent="0.3">
      <c r="A133" s="4">
        <v>42503</v>
      </c>
      <c r="B133" s="3">
        <v>17535.320312</v>
      </c>
      <c r="C133" s="7">
        <f t="shared" si="21"/>
        <v>-1.0450026127930889E-2</v>
      </c>
      <c r="D133" s="3">
        <v>89.572389999999999</v>
      </c>
      <c r="E133" s="7">
        <f t="shared" si="22"/>
        <v>1.9924766098553537E-3</v>
      </c>
      <c r="F133" s="3">
        <v>95.970000999999996</v>
      </c>
      <c r="G133" s="7">
        <f t="shared" si="23"/>
        <v>1.0423093064027E-4</v>
      </c>
      <c r="H133" s="3">
        <v>50.411014000000002</v>
      </c>
      <c r="I133" s="7">
        <f t="shared" si="24"/>
        <v>-8.3478279959318114E-3</v>
      </c>
      <c r="J133" s="3">
        <v>39.312542999999998</v>
      </c>
      <c r="K133" s="7">
        <f t="shared" si="25"/>
        <v>-5.2737072589194023E-3</v>
      </c>
      <c r="L133" s="3">
        <v>77.029999000000004</v>
      </c>
      <c r="M133" s="7">
        <f t="shared" si="26"/>
        <v>-2.8479093851132564E-3</v>
      </c>
      <c r="N133" s="3">
        <v>13.768995</v>
      </c>
      <c r="O133" s="7">
        <f t="shared" si="27"/>
        <v>-1.8387577140976608E-2</v>
      </c>
      <c r="P133" s="3">
        <v>42.812674999999999</v>
      </c>
      <c r="Q133" s="7">
        <f t="shared" si="28"/>
        <v>-2.0227255542636269E-2</v>
      </c>
      <c r="R133" s="3">
        <v>6.6014809999999997</v>
      </c>
      <c r="S133" s="7">
        <f t="shared" si="29"/>
        <v>-3.5765371381480615E-2</v>
      </c>
      <c r="T133" s="3">
        <v>60.288994000000002</v>
      </c>
      <c r="U133" s="7">
        <f t="shared" si="30"/>
        <v>-9.2277781932769143E-3</v>
      </c>
      <c r="V133" s="3">
        <v>47.460284999999999</v>
      </c>
      <c r="W133" s="7">
        <f t="shared" si="31"/>
        <v>-1.9512169121690071E-2</v>
      </c>
      <c r="X133" s="3">
        <v>143.67044300000001</v>
      </c>
      <c r="Y133" s="7">
        <f t="shared" si="32"/>
        <v>-1.5130866576117286E-2</v>
      </c>
      <c r="Z133" s="3">
        <v>131.768441</v>
      </c>
      <c r="AA133" s="7">
        <f t="shared" si="33"/>
        <v>-7.8992318472738132E-3</v>
      </c>
      <c r="AB133" s="3">
        <v>7.58</v>
      </c>
      <c r="AC133" s="7">
        <f t="shared" si="34"/>
        <v>-2.8205128205128216E-2</v>
      </c>
      <c r="AD133" s="3">
        <v>72.128020000000006</v>
      </c>
      <c r="AE133" s="7">
        <f t="shared" si="35"/>
        <v>-2.2751333869947321E-2</v>
      </c>
      <c r="AF133" s="3">
        <v>64.498473000000004</v>
      </c>
      <c r="AG133" s="7">
        <f t="shared" si="36"/>
        <v>-2.8571371338619422E-2</v>
      </c>
      <c r="AH133" s="3">
        <v>14.381837000000001</v>
      </c>
      <c r="AI133" s="7">
        <f t="shared" si="37"/>
        <v>-0.10913548491961489</v>
      </c>
      <c r="AJ133" s="3">
        <v>87.138745999999998</v>
      </c>
      <c r="AK133" s="7">
        <f t="shared" si="38"/>
        <v>-1.1263464282899149E-2</v>
      </c>
      <c r="AL133" s="3">
        <v>6.88</v>
      </c>
      <c r="AM133" s="7">
        <f t="shared" si="39"/>
        <v>-6.3945578231292433E-2</v>
      </c>
      <c r="AN133" s="3">
        <v>0.32</v>
      </c>
      <c r="AO133" s="7">
        <f t="shared" si="40"/>
        <v>-0.13513513513513509</v>
      </c>
      <c r="AP133" s="3">
        <v>10.62</v>
      </c>
      <c r="AQ133" s="7">
        <f t="shared" si="41"/>
        <v>-2.836230558096986E-2</v>
      </c>
    </row>
    <row r="134" spans="1:43" x14ac:dyDescent="0.3">
      <c r="A134" s="4">
        <v>42502</v>
      </c>
      <c r="B134" s="3">
        <v>17720.5</v>
      </c>
      <c r="C134" s="7">
        <f t="shared" ref="C134:C197" si="42">B134/B135-1</f>
        <v>5.2965930189508015E-4</v>
      </c>
      <c r="D134" s="3">
        <v>89.394273999999996</v>
      </c>
      <c r="E134" s="7">
        <f t="shared" ref="E134:E197" si="43">D134/D135-1</f>
        <v>-2.3456984233489631E-2</v>
      </c>
      <c r="F134" s="3">
        <v>95.959998999999996</v>
      </c>
      <c r="G134" s="7">
        <f t="shared" ref="G134:G197" si="44">F134/F135-1</f>
        <v>-1.4568054413487408E-3</v>
      </c>
      <c r="H134" s="3">
        <v>50.835379000000003</v>
      </c>
      <c r="I134" s="7">
        <f t="shared" ref="I134:I197" si="45">H134/H135-1</f>
        <v>9.0107651624793395E-3</v>
      </c>
      <c r="J134" s="3">
        <v>39.520964999999997</v>
      </c>
      <c r="K134" s="7">
        <f t="shared" ref="K134:K197" si="46">J134/J135-1</f>
        <v>4.287455627689285E-3</v>
      </c>
      <c r="L134" s="3">
        <v>77.25</v>
      </c>
      <c r="M134" s="7">
        <f t="shared" ref="M134:M197" si="47">L134/L135-1</f>
        <v>5.0741477351790021E-3</v>
      </c>
      <c r="N134" s="3">
        <v>14.026916</v>
      </c>
      <c r="O134" s="7">
        <f t="shared" ref="O134:O197" si="48">N134/N135-1</f>
        <v>-4.2252706238306015E-3</v>
      </c>
      <c r="P134" s="3">
        <v>43.696536000000002</v>
      </c>
      <c r="Q134" s="7">
        <f t="shared" ref="Q134:Q197" si="49">P134/P135-1</f>
        <v>-1.0568935130406243E-2</v>
      </c>
      <c r="R134" s="3">
        <v>6.8463430000000001</v>
      </c>
      <c r="S134" s="7">
        <f t="shared" ref="S134:S197" si="50">R134/R135-1</f>
        <v>-7.1023576004348721E-3</v>
      </c>
      <c r="T134" s="3">
        <v>60.850509000000002</v>
      </c>
      <c r="U134" s="7">
        <f t="shared" ref="U134:U197" si="51">T134/T135-1</f>
        <v>-6.471679259201224E-4</v>
      </c>
      <c r="V134" s="3">
        <v>48.404767</v>
      </c>
      <c r="W134" s="7">
        <f t="shared" ref="W134:W197" si="52">V134/V135-1</f>
        <v>2.4449585587817957E-3</v>
      </c>
      <c r="X134" s="3">
        <v>145.87769900000001</v>
      </c>
      <c r="Y134" s="7">
        <f t="shared" ref="Y134:Y197" si="53">X134/X135-1</f>
        <v>-2.718830426418184E-3</v>
      </c>
      <c r="Z134" s="3">
        <v>132.817598</v>
      </c>
      <c r="AA134" s="7">
        <f t="shared" ref="AA134:AA197" si="54">Z134/Z135-1</f>
        <v>-8.1906934505771023E-4</v>
      </c>
      <c r="AB134" s="3">
        <v>7.8</v>
      </c>
      <c r="AC134" s="7">
        <f t="shared" ref="AC134:AC197" si="55">AB134/AB135-1</f>
        <v>-1.1406844106463865E-2</v>
      </c>
      <c r="AD134" s="3">
        <v>73.807232999999997</v>
      </c>
      <c r="AE134" s="7">
        <f t="shared" ref="AE134:AE197" si="56">AD134/AD135-1</f>
        <v>-1.3209821383871612E-3</v>
      </c>
      <c r="AF134" s="3">
        <v>66.395482999999999</v>
      </c>
      <c r="AG134" s="7">
        <f t="shared" ref="AG134:AG197" si="57">AF134/AF135-1</f>
        <v>6.625440832254581E-3</v>
      </c>
      <c r="AH134" s="3">
        <v>16.143685999999999</v>
      </c>
      <c r="AI134" s="7">
        <f t="shared" ref="AI134:AI197" si="58">AH134/AH135-1</f>
        <v>-4.6756319215065512E-2</v>
      </c>
      <c r="AJ134" s="3">
        <v>88.131411</v>
      </c>
      <c r="AK134" s="7">
        <f t="shared" ref="AK134:AK197" si="59">AJ134/AJ135-1</f>
        <v>9.6836078239477263E-3</v>
      </c>
      <c r="AL134" s="3">
        <v>7.35</v>
      </c>
      <c r="AM134" s="7">
        <f t="shared" ref="AM134:AM197" si="60">AL134/AL135-1</f>
        <v>-9.4339622641509413E-3</v>
      </c>
      <c r="AN134" s="3">
        <v>0.37</v>
      </c>
      <c r="AO134" s="7">
        <f t="shared" ref="AO134:AO197" si="61">AN134/AN135-1</f>
        <v>-2.6315789473684181E-2</v>
      </c>
      <c r="AP134" s="3">
        <v>10.93</v>
      </c>
      <c r="AQ134" s="7">
        <f t="shared" ref="AQ134:AQ197" si="62">AP134/AP135-1</f>
        <v>-6.3636363636363491E-3</v>
      </c>
    </row>
    <row r="135" spans="1:43" x14ac:dyDescent="0.3">
      <c r="A135" s="4">
        <v>42501</v>
      </c>
      <c r="B135" s="3">
        <v>17711.119140999999</v>
      </c>
      <c r="C135" s="7">
        <f t="shared" si="42"/>
        <v>-1.2116590357595047E-2</v>
      </c>
      <c r="D135" s="3">
        <v>91.541562999999996</v>
      </c>
      <c r="E135" s="7">
        <f t="shared" si="43"/>
        <v>-9.7409151527422244E-3</v>
      </c>
      <c r="F135" s="3">
        <v>96.099997999999999</v>
      </c>
      <c r="G135" s="7">
        <f t="shared" si="44"/>
        <v>-4.3514195301933567E-3</v>
      </c>
      <c r="H135" s="3">
        <v>50.381404000000003</v>
      </c>
      <c r="I135" s="7">
        <f t="shared" si="45"/>
        <v>5.8798297530504584E-4</v>
      </c>
      <c r="J135" s="3">
        <v>39.352243999999999</v>
      </c>
      <c r="K135" s="7">
        <f t="shared" si="46"/>
        <v>-9.2453412765087783E-3</v>
      </c>
      <c r="L135" s="3">
        <v>76.860000999999997</v>
      </c>
      <c r="M135" s="7">
        <f t="shared" si="47"/>
        <v>-9.4083649649885359E-3</v>
      </c>
      <c r="N135" s="3">
        <v>14.086435</v>
      </c>
      <c r="O135" s="7">
        <f t="shared" si="48"/>
        <v>-6.9930597401485217E-3</v>
      </c>
      <c r="P135" s="3">
        <v>44.163294999999998</v>
      </c>
      <c r="Q135" s="7">
        <f t="shared" si="49"/>
        <v>-8.25155780580622E-3</v>
      </c>
      <c r="R135" s="3">
        <v>6.8953160000000002</v>
      </c>
      <c r="S135" s="7">
        <f t="shared" si="50"/>
        <v>2.0289891099588342E-2</v>
      </c>
      <c r="T135" s="3">
        <v>60.889915000000002</v>
      </c>
      <c r="U135" s="7">
        <f t="shared" si="51"/>
        <v>-3.707280903938015E-3</v>
      </c>
      <c r="V135" s="3">
        <v>48.286707999999997</v>
      </c>
      <c r="W135" s="7">
        <f t="shared" si="52"/>
        <v>-6.4777172161332164E-3</v>
      </c>
      <c r="X135" s="3">
        <v>146.275397</v>
      </c>
      <c r="Y135" s="7">
        <f t="shared" si="53"/>
        <v>-1.6314534677083214E-2</v>
      </c>
      <c r="Z135" s="3">
        <v>132.92647400000001</v>
      </c>
      <c r="AA135" s="7">
        <f t="shared" si="54"/>
        <v>-2.334368953481647E-2</v>
      </c>
      <c r="AB135" s="3">
        <v>7.89</v>
      </c>
      <c r="AC135" s="7">
        <f t="shared" si="55"/>
        <v>-2.4721878862793645E-2</v>
      </c>
      <c r="AD135" s="3">
        <v>73.904859999999999</v>
      </c>
      <c r="AE135" s="7">
        <f t="shared" si="56"/>
        <v>-5.4341113529811302E-2</v>
      </c>
      <c r="AF135" s="3">
        <v>65.958478999999997</v>
      </c>
      <c r="AG135" s="7">
        <f t="shared" si="57"/>
        <v>-2.7529625756138598E-2</v>
      </c>
      <c r="AH135" s="3">
        <v>16.935528999999999</v>
      </c>
      <c r="AI135" s="7">
        <f t="shared" si="58"/>
        <v>7.0630166871699096E-3</v>
      </c>
      <c r="AJ135" s="3">
        <v>87.286165999999994</v>
      </c>
      <c r="AK135" s="7">
        <f t="shared" si="59"/>
        <v>-4.8185021727185084E-3</v>
      </c>
      <c r="AL135" s="3">
        <v>7.42</v>
      </c>
      <c r="AM135" s="7">
        <f t="shared" si="60"/>
        <v>9.52380952380949E-3</v>
      </c>
      <c r="AN135" s="3">
        <v>0.38</v>
      </c>
      <c r="AO135" s="7">
        <f t="shared" si="61"/>
        <v>-5.0000000000000044E-2</v>
      </c>
      <c r="AP135" s="3">
        <v>11</v>
      </c>
      <c r="AQ135" s="7">
        <f t="shared" si="62"/>
        <v>2.0408163265306145E-2</v>
      </c>
    </row>
    <row r="136" spans="1:43" x14ac:dyDescent="0.3">
      <c r="A136" s="4">
        <v>42500</v>
      </c>
      <c r="B136" s="3">
        <v>17928.349609000001</v>
      </c>
      <c r="C136" s="7">
        <f t="shared" si="42"/>
        <v>1.2563005857375797E-2</v>
      </c>
      <c r="D136" s="3">
        <v>92.442032999999995</v>
      </c>
      <c r="E136" s="7">
        <f t="shared" si="43"/>
        <v>6.7895044829138218E-3</v>
      </c>
      <c r="F136" s="3">
        <v>96.519997000000004</v>
      </c>
      <c r="G136" s="7">
        <f t="shared" si="44"/>
        <v>2.0188098296288981E-2</v>
      </c>
      <c r="H136" s="3">
        <v>50.351798000000002</v>
      </c>
      <c r="I136" s="7">
        <f t="shared" si="45"/>
        <v>1.8973458237412144E-2</v>
      </c>
      <c r="J136" s="3">
        <v>39.719464000000002</v>
      </c>
      <c r="K136" s="7">
        <f t="shared" si="46"/>
        <v>1.6768276176421404E-2</v>
      </c>
      <c r="L136" s="3">
        <v>77.589995999999999</v>
      </c>
      <c r="M136" s="7">
        <f t="shared" si="47"/>
        <v>7.6623249738569932E-3</v>
      </c>
      <c r="N136" s="3">
        <v>14.185636000000001</v>
      </c>
      <c r="O136" s="7">
        <f t="shared" si="48"/>
        <v>2.2158700947499055E-2</v>
      </c>
      <c r="P136" s="3">
        <v>44.530743000000001</v>
      </c>
      <c r="Q136" s="7">
        <f t="shared" si="49"/>
        <v>2.1645046375212029E-2</v>
      </c>
      <c r="R136" s="3">
        <v>6.7581930000000003</v>
      </c>
      <c r="S136" s="7">
        <f t="shared" si="50"/>
        <v>2.5259997933761102E-2</v>
      </c>
      <c r="T136" s="3">
        <v>61.116491000000003</v>
      </c>
      <c r="U136" s="7">
        <f t="shared" si="51"/>
        <v>1.3559911695819604E-2</v>
      </c>
      <c r="V136" s="3">
        <v>48.601534999999998</v>
      </c>
      <c r="W136" s="7">
        <f t="shared" si="52"/>
        <v>1.0638316675760429E-2</v>
      </c>
      <c r="X136" s="3">
        <v>148.701391</v>
      </c>
      <c r="Y136" s="7">
        <f t="shared" si="53"/>
        <v>6.5280347350318291E-3</v>
      </c>
      <c r="Z136" s="3">
        <v>136.103635</v>
      </c>
      <c r="AA136" s="7">
        <f t="shared" si="54"/>
        <v>9.3217009085915237E-3</v>
      </c>
      <c r="AB136" s="3">
        <v>8.09</v>
      </c>
      <c r="AC136" s="7">
        <f t="shared" si="55"/>
        <v>-4.0332147093712911E-2</v>
      </c>
      <c r="AD136" s="3">
        <v>78.151711000000006</v>
      </c>
      <c r="AE136" s="7">
        <f t="shared" si="56"/>
        <v>1.5013477234713246E-3</v>
      </c>
      <c r="AF136" s="3">
        <v>67.825694999999996</v>
      </c>
      <c r="AG136" s="7">
        <f t="shared" si="57"/>
        <v>-2.3204618865462212E-3</v>
      </c>
      <c r="AH136" s="3">
        <v>16.816752000000001</v>
      </c>
      <c r="AI136" s="7">
        <f t="shared" si="58"/>
        <v>-5.400886320756304E-2</v>
      </c>
      <c r="AJ136" s="3">
        <v>87.708791000000005</v>
      </c>
      <c r="AK136" s="7">
        <f t="shared" si="59"/>
        <v>1.6032497918992972E-2</v>
      </c>
      <c r="AL136" s="3">
        <v>7.35</v>
      </c>
      <c r="AM136" s="7">
        <f t="shared" si="60"/>
        <v>7.6134699853587007E-2</v>
      </c>
      <c r="AN136" s="3">
        <v>0.4</v>
      </c>
      <c r="AO136" s="7">
        <f t="shared" si="61"/>
        <v>2.5641025641025772E-2</v>
      </c>
      <c r="AP136" s="3">
        <v>10.78</v>
      </c>
      <c r="AQ136" s="7">
        <f t="shared" si="62"/>
        <v>7.5848303393213579E-2</v>
      </c>
    </row>
    <row r="137" spans="1:43" x14ac:dyDescent="0.3">
      <c r="A137" s="4">
        <v>42499</v>
      </c>
      <c r="B137" s="3">
        <v>17705.910156000002</v>
      </c>
      <c r="C137" s="7">
        <f t="shared" si="42"/>
        <v>-1.9571289925344182E-3</v>
      </c>
      <c r="D137" s="3">
        <v>91.818629999999999</v>
      </c>
      <c r="E137" s="7">
        <f t="shared" si="43"/>
        <v>7.5495891998733633E-4</v>
      </c>
      <c r="F137" s="3">
        <v>94.610000999999997</v>
      </c>
      <c r="G137" s="7">
        <f t="shared" si="44"/>
        <v>3.2873593864042316E-3</v>
      </c>
      <c r="H137" s="3">
        <v>49.414239000000002</v>
      </c>
      <c r="I137" s="7">
        <f t="shared" si="45"/>
        <v>-6.3504664222321372E-3</v>
      </c>
      <c r="J137" s="3">
        <v>39.064421000000003</v>
      </c>
      <c r="K137" s="7">
        <f t="shared" si="46"/>
        <v>-1.2687002840027217E-3</v>
      </c>
      <c r="L137" s="3">
        <v>76.999996999999993</v>
      </c>
      <c r="M137" s="7">
        <f t="shared" si="47"/>
        <v>1.2672904863519463E-2</v>
      </c>
      <c r="N137" s="3">
        <v>13.878114999999999</v>
      </c>
      <c r="O137" s="7">
        <f t="shared" si="48"/>
        <v>-8.5045853961036588E-3</v>
      </c>
      <c r="P137" s="3">
        <v>43.587294</v>
      </c>
      <c r="Q137" s="7">
        <f t="shared" si="49"/>
        <v>-1.1709083508352536E-2</v>
      </c>
      <c r="R137" s="3">
        <v>6.5916870000000003</v>
      </c>
      <c r="S137" s="7">
        <f t="shared" si="50"/>
        <v>1.5082982970373582E-2</v>
      </c>
      <c r="T137" s="3">
        <v>60.298844000000003</v>
      </c>
      <c r="U137" s="7">
        <f t="shared" si="51"/>
        <v>-6.331159623221283E-3</v>
      </c>
      <c r="V137" s="3">
        <v>48.089939000000001</v>
      </c>
      <c r="W137" s="7">
        <f t="shared" si="52"/>
        <v>-2.855974233550107E-3</v>
      </c>
      <c r="X137" s="3">
        <v>147.73695900000001</v>
      </c>
      <c r="Y137" s="7">
        <f t="shared" si="53"/>
        <v>1.4681738734637406E-2</v>
      </c>
      <c r="Z137" s="3">
        <v>134.84663499999999</v>
      </c>
      <c r="AA137" s="7">
        <f t="shared" si="54"/>
        <v>3.9794315255874402E-3</v>
      </c>
      <c r="AB137" s="3">
        <v>8.43</v>
      </c>
      <c r="AC137" s="7">
        <f t="shared" si="55"/>
        <v>2.0581113801452666E-2</v>
      </c>
      <c r="AD137" s="3">
        <v>78.034554</v>
      </c>
      <c r="AE137" s="7">
        <f t="shared" si="56"/>
        <v>1.5113062595336846E-2</v>
      </c>
      <c r="AF137" s="3">
        <v>67.983447999999996</v>
      </c>
      <c r="AG137" s="7">
        <f t="shared" si="57"/>
        <v>1.0256375887137459E-2</v>
      </c>
      <c r="AH137" s="3">
        <v>17.776859999999999</v>
      </c>
      <c r="AI137" s="7">
        <f t="shared" si="58"/>
        <v>-0.13653849413789199</v>
      </c>
      <c r="AJ137" s="3">
        <v>86.324788999999996</v>
      </c>
      <c r="AK137" s="7">
        <f t="shared" si="59"/>
        <v>6.7785440186840518E-4</v>
      </c>
      <c r="AL137" s="3">
        <v>6.83</v>
      </c>
      <c r="AM137" s="7">
        <f t="shared" si="60"/>
        <v>-6.8212824010913997E-2</v>
      </c>
      <c r="AN137" s="3">
        <v>0.39</v>
      </c>
      <c r="AO137" s="7">
        <f t="shared" si="61"/>
        <v>-4.8780487804877981E-2</v>
      </c>
      <c r="AP137" s="3">
        <v>10.02</v>
      </c>
      <c r="AQ137" s="7">
        <f t="shared" si="62"/>
        <v>-3.2818532818532753E-2</v>
      </c>
    </row>
    <row r="138" spans="1:43" x14ac:dyDescent="0.3">
      <c r="A138" s="4">
        <v>42496</v>
      </c>
      <c r="B138" s="3">
        <v>17740.630859000001</v>
      </c>
      <c r="C138" s="7">
        <f t="shared" si="42"/>
        <v>4.5252946656886284E-3</v>
      </c>
      <c r="D138" s="3">
        <v>91.749363000000002</v>
      </c>
      <c r="E138" s="7">
        <f t="shared" si="43"/>
        <v>-5.5769797850659941E-3</v>
      </c>
      <c r="F138" s="3">
        <v>94.300003000000004</v>
      </c>
      <c r="G138" s="7">
        <f t="shared" si="44"/>
        <v>8.5561818181818516E-3</v>
      </c>
      <c r="H138" s="3">
        <v>49.730047999999996</v>
      </c>
      <c r="I138" s="7">
        <f t="shared" si="45"/>
        <v>9.0108252168705771E-3</v>
      </c>
      <c r="J138" s="3">
        <v>39.114044999999997</v>
      </c>
      <c r="K138" s="7">
        <f t="shared" si="46"/>
        <v>4.5883442408034547E-3</v>
      </c>
      <c r="L138" s="3">
        <v>76.036394999999999</v>
      </c>
      <c r="M138" s="7">
        <f t="shared" si="47"/>
        <v>3.3735879756890963E-3</v>
      </c>
      <c r="N138" s="3">
        <v>13.997154999999999</v>
      </c>
      <c r="O138" s="7">
        <f t="shared" si="48"/>
        <v>4.2704519095240201E-3</v>
      </c>
      <c r="P138" s="3">
        <v>44.103707999999997</v>
      </c>
      <c r="Q138" s="7">
        <f t="shared" si="49"/>
        <v>4.0696461594069699E-3</v>
      </c>
      <c r="R138" s="3">
        <v>6.4937420000000001</v>
      </c>
      <c r="S138" s="7">
        <f t="shared" si="50"/>
        <v>2.157168771637874E-2</v>
      </c>
      <c r="T138" s="3">
        <v>60.683038000000003</v>
      </c>
      <c r="U138" s="7">
        <f t="shared" si="51"/>
        <v>5.8784585700930592E-3</v>
      </c>
      <c r="V138" s="3">
        <v>48.227676000000002</v>
      </c>
      <c r="W138" s="7">
        <f t="shared" si="52"/>
        <v>1.2255275444332803E-3</v>
      </c>
      <c r="X138" s="3">
        <v>145.59930800000001</v>
      </c>
      <c r="Y138" s="7">
        <f t="shared" si="53"/>
        <v>-9.4696579419191185E-3</v>
      </c>
      <c r="Z138" s="3">
        <v>134.31214900000001</v>
      </c>
      <c r="AA138" s="7">
        <f t="shared" si="54"/>
        <v>7.6483116834205056E-3</v>
      </c>
      <c r="AB138" s="3">
        <v>8.26</v>
      </c>
      <c r="AC138" s="7">
        <f t="shared" si="55"/>
        <v>-7.5027995520716706E-2</v>
      </c>
      <c r="AD138" s="3">
        <v>76.872771</v>
      </c>
      <c r="AE138" s="7">
        <f t="shared" si="56"/>
        <v>7.8075062919165106E-3</v>
      </c>
      <c r="AF138" s="3">
        <v>67.293262999999996</v>
      </c>
      <c r="AG138" s="7">
        <f t="shared" si="57"/>
        <v>1.5473900832229992E-2</v>
      </c>
      <c r="AH138" s="3">
        <v>20.587900999999999</v>
      </c>
      <c r="AI138" s="7">
        <f t="shared" si="58"/>
        <v>3.0212936049929917E-2</v>
      </c>
      <c r="AJ138" s="3">
        <v>86.266312999999997</v>
      </c>
      <c r="AK138" s="7">
        <f t="shared" si="59"/>
        <v>5.3384975002279678E-3</v>
      </c>
      <c r="AL138" s="3">
        <v>7.33</v>
      </c>
      <c r="AM138" s="7">
        <f t="shared" si="60"/>
        <v>3.6775106082036713E-2</v>
      </c>
      <c r="AN138" s="3">
        <v>0.41</v>
      </c>
      <c r="AO138" s="7">
        <f t="shared" si="61"/>
        <v>2.4999999999999911E-2</v>
      </c>
      <c r="AP138" s="3">
        <v>10.36</v>
      </c>
      <c r="AQ138" s="7">
        <f t="shared" si="62"/>
        <v>-6.7114093959731447E-3</v>
      </c>
    </row>
    <row r="139" spans="1:43" x14ac:dyDescent="0.3">
      <c r="A139" s="4">
        <v>42495</v>
      </c>
      <c r="B139" s="3">
        <v>17660.710938</v>
      </c>
      <c r="C139" s="7">
        <f t="shared" si="42"/>
        <v>5.3543895026719746E-4</v>
      </c>
      <c r="D139" s="3">
        <v>92.263917000000006</v>
      </c>
      <c r="E139" s="7">
        <f t="shared" si="43"/>
        <v>-4.0590158387832087E-3</v>
      </c>
      <c r="F139" s="3">
        <v>93.5</v>
      </c>
      <c r="G139" s="7">
        <f t="shared" si="44"/>
        <v>6.0253710775688418E-3</v>
      </c>
      <c r="H139" s="3">
        <v>49.285941000000001</v>
      </c>
      <c r="I139" s="7">
        <f t="shared" si="45"/>
        <v>1.4036450681187418E-3</v>
      </c>
      <c r="J139" s="3">
        <v>38.935395999999997</v>
      </c>
      <c r="K139" s="7">
        <f t="shared" si="46"/>
        <v>-1.5271465813251339E-3</v>
      </c>
      <c r="L139" s="3">
        <v>75.780742000000004</v>
      </c>
      <c r="M139" s="7">
        <f t="shared" si="47"/>
        <v>-5.1633067911367458E-3</v>
      </c>
      <c r="N139" s="3">
        <v>13.937635</v>
      </c>
      <c r="O139" s="7">
        <f t="shared" si="48"/>
        <v>-5.6616985309618784E-3</v>
      </c>
      <c r="P139" s="3">
        <v>43.924948999999998</v>
      </c>
      <c r="Q139" s="7">
        <f t="shared" si="49"/>
        <v>-9.6283178673586267E-3</v>
      </c>
      <c r="R139" s="3">
        <v>6.3566190000000002</v>
      </c>
      <c r="S139" s="7">
        <f t="shared" si="50"/>
        <v>1.7241329646272785E-2</v>
      </c>
      <c r="T139" s="3">
        <v>60.328400000000002</v>
      </c>
      <c r="U139" s="7">
        <f t="shared" si="51"/>
        <v>-5.359724913420405E-3</v>
      </c>
      <c r="V139" s="3">
        <v>48.168644</v>
      </c>
      <c r="W139" s="7">
        <f t="shared" si="52"/>
        <v>4.0866920364046599E-4</v>
      </c>
      <c r="X139" s="3">
        <v>146.991265</v>
      </c>
      <c r="Y139" s="7">
        <f t="shared" si="53"/>
        <v>-2.4222811343432071E-2</v>
      </c>
      <c r="Z139" s="3">
        <v>133.29268500000001</v>
      </c>
      <c r="AA139" s="7">
        <f t="shared" si="54"/>
        <v>-3.6253731087679819E-3</v>
      </c>
      <c r="AB139" s="3">
        <v>8.93</v>
      </c>
      <c r="AC139" s="7">
        <f t="shared" si="55"/>
        <v>-1.1074197120708673E-2</v>
      </c>
      <c r="AD139" s="3">
        <v>76.277236000000002</v>
      </c>
      <c r="AE139" s="7">
        <f t="shared" si="56"/>
        <v>-1.9821878167977203E-2</v>
      </c>
      <c r="AF139" s="3">
        <v>66.267841000000004</v>
      </c>
      <c r="AG139" s="7">
        <f t="shared" si="57"/>
        <v>2.9760842287984701E-4</v>
      </c>
      <c r="AH139" s="3">
        <v>19.984121999999999</v>
      </c>
      <c r="AI139" s="7">
        <f t="shared" si="58"/>
        <v>-2.4637704218894441E-2</v>
      </c>
      <c r="AJ139" s="3">
        <v>85.808226000000005</v>
      </c>
      <c r="AK139" s="7">
        <f t="shared" si="59"/>
        <v>1.1371267472806146E-3</v>
      </c>
      <c r="AL139" s="3">
        <v>7.07</v>
      </c>
      <c r="AM139" s="7">
        <f t="shared" si="60"/>
        <v>-3.4153005464480857E-2</v>
      </c>
      <c r="AN139" s="3">
        <v>0.4</v>
      </c>
      <c r="AO139" s="7">
        <f t="shared" si="61"/>
        <v>0</v>
      </c>
      <c r="AP139" s="3">
        <v>10.43</v>
      </c>
      <c r="AQ139" s="7">
        <f t="shared" si="62"/>
        <v>3.0632411067193832E-2</v>
      </c>
    </row>
    <row r="140" spans="1:43" x14ac:dyDescent="0.3">
      <c r="A140" s="4">
        <v>42494</v>
      </c>
      <c r="B140" s="3">
        <v>17651.259765999999</v>
      </c>
      <c r="C140" s="7">
        <f t="shared" si="42"/>
        <v>-5.6138186224957698E-3</v>
      </c>
      <c r="D140" s="3">
        <v>92.639944</v>
      </c>
      <c r="E140" s="7">
        <f t="shared" si="43"/>
        <v>-1.0401314449349108E-2</v>
      </c>
      <c r="F140" s="3">
        <v>92.940002000000007</v>
      </c>
      <c r="G140" s="7">
        <f t="shared" si="44"/>
        <v>-7.6874009102112506E-3</v>
      </c>
      <c r="H140" s="3">
        <v>49.216858000000002</v>
      </c>
      <c r="I140" s="7">
        <f t="shared" si="45"/>
        <v>1.8079492978724243E-3</v>
      </c>
      <c r="J140" s="3">
        <v>38.994947000000003</v>
      </c>
      <c r="K140" s="7">
        <f t="shared" si="46"/>
        <v>-9.8285976566409028E-3</v>
      </c>
      <c r="L140" s="3">
        <v>76.174052000000003</v>
      </c>
      <c r="M140" s="7">
        <f t="shared" si="47"/>
        <v>-1.3372335584823869E-2</v>
      </c>
      <c r="N140" s="3">
        <v>14.016995</v>
      </c>
      <c r="O140" s="7">
        <f t="shared" si="48"/>
        <v>-1.6016673739246867E-2</v>
      </c>
      <c r="P140" s="3">
        <v>44.351984000000002</v>
      </c>
      <c r="Q140" s="7">
        <f t="shared" si="49"/>
        <v>-1.9969260451505044E-2</v>
      </c>
      <c r="R140" s="3">
        <v>6.2488799999999998</v>
      </c>
      <c r="S140" s="7">
        <f t="shared" si="50"/>
        <v>-1.3910301829090366E-2</v>
      </c>
      <c r="T140" s="3">
        <v>60.653486000000001</v>
      </c>
      <c r="U140" s="7">
        <f t="shared" si="51"/>
        <v>-1.5824822018943974E-2</v>
      </c>
      <c r="V140" s="3">
        <v>48.148966999999999</v>
      </c>
      <c r="W140" s="7">
        <f t="shared" si="52"/>
        <v>-1.3704172952517024E-2</v>
      </c>
      <c r="X140" s="3">
        <v>150.64019400000001</v>
      </c>
      <c r="Y140" s="7">
        <f t="shared" si="53"/>
        <v>6.6039914222049134E-4</v>
      </c>
      <c r="Z140" s="3">
        <v>133.77767900000001</v>
      </c>
      <c r="AA140" s="7">
        <f t="shared" si="54"/>
        <v>4.6083773281413443E-3</v>
      </c>
      <c r="AB140" s="3">
        <v>9.0299999999999994</v>
      </c>
      <c r="AC140" s="7">
        <f t="shared" si="55"/>
        <v>-3.1115879828326309E-2</v>
      </c>
      <c r="AD140" s="3">
        <v>77.819770000000005</v>
      </c>
      <c r="AE140" s="7">
        <f t="shared" si="56"/>
        <v>-3.5004231934412378E-3</v>
      </c>
      <c r="AF140" s="3">
        <v>66.248125000000002</v>
      </c>
      <c r="AG140" s="7">
        <f t="shared" si="57"/>
        <v>2.8358578718699068E-3</v>
      </c>
      <c r="AH140" s="3">
        <v>20.488921999999999</v>
      </c>
      <c r="AI140" s="7">
        <f t="shared" si="58"/>
        <v>-3.0898877467388508E-2</v>
      </c>
      <c r="AJ140" s="3">
        <v>85.710762000000003</v>
      </c>
      <c r="AK140" s="7">
        <f t="shared" si="59"/>
        <v>-1.9293880693789234E-3</v>
      </c>
      <c r="AL140" s="3">
        <v>7.32</v>
      </c>
      <c r="AM140" s="7">
        <f t="shared" si="60"/>
        <v>2.0920502092050208E-2</v>
      </c>
      <c r="AN140" s="3">
        <v>0.4</v>
      </c>
      <c r="AO140" s="7">
        <f t="shared" si="61"/>
        <v>2.5641025641025772E-2</v>
      </c>
      <c r="AP140" s="3">
        <v>10.119999999999999</v>
      </c>
      <c r="AQ140" s="7">
        <f t="shared" si="62"/>
        <v>-1.6520894071914483E-2</v>
      </c>
    </row>
    <row r="141" spans="1:43" x14ac:dyDescent="0.3">
      <c r="A141" s="4">
        <v>42493</v>
      </c>
      <c r="B141" s="3">
        <v>17750.910156000002</v>
      </c>
      <c r="C141" s="7">
        <f t="shared" si="42"/>
        <v>-7.8390668227832361E-3</v>
      </c>
      <c r="D141" s="3">
        <v>93.613648999999995</v>
      </c>
      <c r="E141" s="7">
        <f t="shared" si="43"/>
        <v>1.6445967182789678E-2</v>
      </c>
      <c r="F141" s="3">
        <v>93.660004000000001</v>
      </c>
      <c r="G141" s="7">
        <f t="shared" si="44"/>
        <v>-1.3066364318938595E-2</v>
      </c>
      <c r="H141" s="3">
        <v>49.128036999999999</v>
      </c>
      <c r="I141" s="7">
        <f t="shared" si="45"/>
        <v>-1.639994884194429E-2</v>
      </c>
      <c r="J141" s="3">
        <v>39.382016999999998</v>
      </c>
      <c r="K141" s="7">
        <f t="shared" si="46"/>
        <v>-1.5384590382965357E-2</v>
      </c>
      <c r="L141" s="3">
        <v>77.206483000000006</v>
      </c>
      <c r="M141" s="7">
        <f t="shared" si="47"/>
        <v>-1.5423234902202765E-2</v>
      </c>
      <c r="N141" s="3">
        <v>14.245155</v>
      </c>
      <c r="O141" s="7">
        <f t="shared" si="48"/>
        <v>-2.7759037289215582E-2</v>
      </c>
      <c r="P141" s="3">
        <v>45.255707000000001</v>
      </c>
      <c r="Q141" s="7">
        <f t="shared" si="49"/>
        <v>-2.3778932729960234E-2</v>
      </c>
      <c r="R141" s="3">
        <v>6.3370300000000004</v>
      </c>
      <c r="S141" s="7">
        <f t="shared" si="50"/>
        <v>-4.5722721193785176E-2</v>
      </c>
      <c r="T141" s="3">
        <v>61.628749999999997</v>
      </c>
      <c r="U141" s="7">
        <f t="shared" si="51"/>
        <v>-1.9282025726076624E-2</v>
      </c>
      <c r="V141" s="3">
        <v>48.817976999999999</v>
      </c>
      <c r="W141" s="7">
        <f t="shared" si="52"/>
        <v>-1.1662401306392733E-2</v>
      </c>
      <c r="X141" s="3">
        <v>150.54077699999999</v>
      </c>
      <c r="Y141" s="7">
        <f t="shared" si="53"/>
        <v>3.1803531840335353E-3</v>
      </c>
      <c r="Z141" s="3">
        <v>133.16400899999999</v>
      </c>
      <c r="AA141" s="7">
        <f t="shared" si="54"/>
        <v>-1.1098936617301103E-2</v>
      </c>
      <c r="AB141" s="3">
        <v>9.32</v>
      </c>
      <c r="AC141" s="7">
        <f t="shared" si="55"/>
        <v>-3.1185031185031131E-2</v>
      </c>
      <c r="AD141" s="3">
        <v>78.093129000000005</v>
      </c>
      <c r="AE141" s="7">
        <f t="shared" si="56"/>
        <v>-1.6226274257989948E-3</v>
      </c>
      <c r="AF141" s="3">
        <v>66.060785999999993</v>
      </c>
      <c r="AG141" s="7">
        <f t="shared" si="57"/>
        <v>-8.7290527103780491E-3</v>
      </c>
      <c r="AH141" s="3">
        <v>21.142192000000001</v>
      </c>
      <c r="AI141" s="7">
        <f t="shared" si="58"/>
        <v>-3.0852992891489017E-2</v>
      </c>
      <c r="AJ141" s="3">
        <v>85.876451000000003</v>
      </c>
      <c r="AK141" s="7">
        <f t="shared" si="59"/>
        <v>-1.1443918920731155E-2</v>
      </c>
      <c r="AL141" s="3">
        <v>7.17</v>
      </c>
      <c r="AM141" s="7">
        <f t="shared" si="60"/>
        <v>-5.4089709762533023E-2</v>
      </c>
      <c r="AN141" s="3">
        <v>0.39</v>
      </c>
      <c r="AO141" s="7">
        <f t="shared" si="61"/>
        <v>-7.1428571428571397E-2</v>
      </c>
      <c r="AP141" s="3">
        <v>10.29</v>
      </c>
      <c r="AQ141" s="7">
        <f t="shared" si="62"/>
        <v>-4.6339202965709037E-2</v>
      </c>
    </row>
    <row r="142" spans="1:43" x14ac:dyDescent="0.3">
      <c r="A142" s="4">
        <v>42492</v>
      </c>
      <c r="B142" s="3">
        <v>17891.160156000002</v>
      </c>
      <c r="C142" s="7">
        <f t="shared" si="42"/>
        <v>6.6120123321669055E-3</v>
      </c>
      <c r="D142" s="3">
        <v>92.098991999999996</v>
      </c>
      <c r="E142" s="7">
        <f t="shared" si="43"/>
        <v>-1.0667660766153775E-3</v>
      </c>
      <c r="F142" s="3">
        <v>94.900002000000001</v>
      </c>
      <c r="G142" s="7">
        <f t="shared" si="44"/>
        <v>7.2171618847680641E-3</v>
      </c>
      <c r="H142" s="3">
        <v>49.947167999999998</v>
      </c>
      <c r="I142" s="7">
        <f t="shared" si="45"/>
        <v>1.4838614850220644E-2</v>
      </c>
      <c r="J142" s="3">
        <v>39.99736</v>
      </c>
      <c r="K142" s="7">
        <f t="shared" si="46"/>
        <v>1.1038590705222173E-2</v>
      </c>
      <c r="L142" s="3">
        <v>78.415909999999997</v>
      </c>
      <c r="M142" s="7">
        <f t="shared" si="47"/>
        <v>1.4372894956505622E-2</v>
      </c>
      <c r="N142" s="3">
        <v>14.651877000000001</v>
      </c>
      <c r="O142" s="7">
        <f t="shared" si="48"/>
        <v>1.442303997554073E-2</v>
      </c>
      <c r="P142" s="3">
        <v>46.358052000000001</v>
      </c>
      <c r="Q142" s="7">
        <f t="shared" si="49"/>
        <v>8.6430591627955078E-3</v>
      </c>
      <c r="R142" s="3">
        <v>6.6406590000000003</v>
      </c>
      <c r="S142" s="7">
        <f t="shared" si="50"/>
        <v>-3.8297869259142803E-2</v>
      </c>
      <c r="T142" s="3">
        <v>62.840440999999998</v>
      </c>
      <c r="U142" s="7">
        <f t="shared" si="51"/>
        <v>9.3354521947695002E-3</v>
      </c>
      <c r="V142" s="3">
        <v>49.394030000000001</v>
      </c>
      <c r="W142" s="7">
        <f t="shared" si="52"/>
        <v>1.2204895852224729E-2</v>
      </c>
      <c r="X142" s="3">
        <v>150.06352200000001</v>
      </c>
      <c r="Y142" s="7">
        <f t="shared" si="53"/>
        <v>1.8902236621922697E-2</v>
      </c>
      <c r="Z142" s="3">
        <v>134.65857600000001</v>
      </c>
      <c r="AA142" s="7">
        <f t="shared" si="54"/>
        <v>1.6132676607571783E-2</v>
      </c>
      <c r="AB142" s="3">
        <v>9.6199999999999992</v>
      </c>
      <c r="AC142" s="7">
        <f t="shared" si="55"/>
        <v>3.6637931034482651E-2</v>
      </c>
      <c r="AD142" s="3">
        <v>78.220050999999998</v>
      </c>
      <c r="AE142" s="7">
        <f t="shared" si="56"/>
        <v>7.7987752611614614E-3</v>
      </c>
      <c r="AF142" s="3">
        <v>66.642511999999996</v>
      </c>
      <c r="AG142" s="7">
        <f t="shared" si="57"/>
        <v>1.0767069424870934E-2</v>
      </c>
      <c r="AH142" s="3">
        <v>21.815258</v>
      </c>
      <c r="AI142" s="7">
        <f t="shared" si="58"/>
        <v>-3.8394388433116711E-2</v>
      </c>
      <c r="AJ142" s="3">
        <v>86.870591000000005</v>
      </c>
      <c r="AK142" s="7">
        <f t="shared" si="59"/>
        <v>8.2578623934341788E-3</v>
      </c>
      <c r="AL142" s="3">
        <v>7.58</v>
      </c>
      <c r="AM142" s="7">
        <f t="shared" si="60"/>
        <v>-1.6861219195849486E-2</v>
      </c>
      <c r="AN142" s="3">
        <v>0.42</v>
      </c>
      <c r="AO142" s="7">
        <f t="shared" si="61"/>
        <v>-6.6666666666666763E-2</v>
      </c>
      <c r="AP142" s="3">
        <v>10.79</v>
      </c>
      <c r="AQ142" s="7">
        <f t="shared" si="62"/>
        <v>-0.10083333333333344</v>
      </c>
    </row>
    <row r="143" spans="1:43" x14ac:dyDescent="0.3">
      <c r="A143" s="4">
        <v>42489</v>
      </c>
      <c r="B143" s="3">
        <v>17773.640625</v>
      </c>
      <c r="C143" s="7">
        <f t="shared" si="42"/>
        <v>-3.2034047763300766E-3</v>
      </c>
      <c r="D143" s="3">
        <v>92.197344999999999</v>
      </c>
      <c r="E143" s="7">
        <f t="shared" si="43"/>
        <v>-1.1494293665047395E-2</v>
      </c>
      <c r="F143" s="3">
        <v>94.220000999999996</v>
      </c>
      <c r="G143" s="7">
        <f t="shared" si="44"/>
        <v>6.1939556406871432E-3</v>
      </c>
      <c r="H143" s="3">
        <v>49.216858000000002</v>
      </c>
      <c r="I143" s="7">
        <f t="shared" si="45"/>
        <v>-6.012613940150624E-4</v>
      </c>
      <c r="J143" s="3">
        <v>39.560665999999998</v>
      </c>
      <c r="K143" s="7">
        <f t="shared" si="46"/>
        <v>-1.1653893416011973E-2</v>
      </c>
      <c r="L143" s="3">
        <v>77.304816000000002</v>
      </c>
      <c r="M143" s="7">
        <f t="shared" si="47"/>
        <v>-9.4494049115870782E-3</v>
      </c>
      <c r="N143" s="3">
        <v>14.443557</v>
      </c>
      <c r="O143" s="7">
        <f t="shared" si="48"/>
        <v>-1.555100878786031E-2</v>
      </c>
      <c r="P143" s="3">
        <v>45.960810000000002</v>
      </c>
      <c r="Q143" s="7">
        <f t="shared" si="49"/>
        <v>-9.6298013603645094E-3</v>
      </c>
      <c r="R143" s="3">
        <v>6.9051099999999996</v>
      </c>
      <c r="S143" s="7">
        <f t="shared" si="50"/>
        <v>-3.9509538679816103E-2</v>
      </c>
      <c r="T143" s="3">
        <v>62.259222999999999</v>
      </c>
      <c r="U143" s="7">
        <f t="shared" si="51"/>
        <v>-6.2892651118938714E-3</v>
      </c>
      <c r="V143" s="3">
        <v>48.798450000000003</v>
      </c>
      <c r="W143" s="7">
        <f t="shared" si="52"/>
        <v>-8.530061541152878E-3</v>
      </c>
      <c r="X143" s="3">
        <v>147.279608</v>
      </c>
      <c r="Y143" s="7">
        <f t="shared" si="53"/>
        <v>-2.1856822875312543E-2</v>
      </c>
      <c r="Z143" s="3">
        <v>132.52066300000001</v>
      </c>
      <c r="AA143" s="7">
        <f t="shared" si="54"/>
        <v>8.7395748652860927E-3</v>
      </c>
      <c r="AB143" s="3">
        <v>9.2799999999999994</v>
      </c>
      <c r="AC143" s="7">
        <f t="shared" si="55"/>
        <v>-3.9337474120082927E-2</v>
      </c>
      <c r="AD143" s="3">
        <v>77.614750999999998</v>
      </c>
      <c r="AE143" s="7">
        <f t="shared" si="56"/>
        <v>-2.2500938145187499E-2</v>
      </c>
      <c r="AF143" s="3">
        <v>65.932610999999994</v>
      </c>
      <c r="AG143" s="7">
        <f t="shared" si="57"/>
        <v>-2.9603843693958853E-2</v>
      </c>
      <c r="AH143" s="3">
        <v>22.686284000000001</v>
      </c>
      <c r="AI143" s="7">
        <f t="shared" si="58"/>
        <v>9.6916006246605679E-3</v>
      </c>
      <c r="AJ143" s="3">
        <v>86.159101000000007</v>
      </c>
      <c r="AK143" s="7">
        <f t="shared" si="59"/>
        <v>4.2031515314659984E-3</v>
      </c>
      <c r="AL143" s="3">
        <v>7.71</v>
      </c>
      <c r="AM143" s="7">
        <f t="shared" si="60"/>
        <v>1.2987012987013546E-3</v>
      </c>
      <c r="AN143" s="3">
        <v>0.45</v>
      </c>
      <c r="AO143" s="7">
        <f t="shared" si="61"/>
        <v>-2.1739130434782594E-2</v>
      </c>
      <c r="AP143" s="3">
        <v>12</v>
      </c>
      <c r="AQ143" s="7">
        <f t="shared" si="62"/>
        <v>1.954120645709434E-2</v>
      </c>
    </row>
    <row r="144" spans="1:43" x14ac:dyDescent="0.3">
      <c r="A144" s="4">
        <v>42488</v>
      </c>
      <c r="B144" s="3">
        <v>17830.759765999999</v>
      </c>
      <c r="C144" s="7">
        <f t="shared" si="42"/>
        <v>-1.1683641697918357E-2</v>
      </c>
      <c r="D144" s="3">
        <v>93.269411000000005</v>
      </c>
      <c r="E144" s="7">
        <f t="shared" si="43"/>
        <v>-3.0566321536604657E-2</v>
      </c>
      <c r="F144" s="3">
        <v>93.639999000000003</v>
      </c>
      <c r="G144" s="7">
        <f t="shared" si="44"/>
        <v>-2.09117526235022E-2</v>
      </c>
      <c r="H144" s="3">
        <v>49.246468</v>
      </c>
      <c r="I144" s="7">
        <f t="shared" si="45"/>
        <v>-2.0416111728232433E-2</v>
      </c>
      <c r="J144" s="3">
        <v>40.027138000000001</v>
      </c>
      <c r="K144" s="7">
        <f t="shared" si="46"/>
        <v>-1.2729400512228484E-2</v>
      </c>
      <c r="L144" s="3">
        <v>78.042269000000005</v>
      </c>
      <c r="M144" s="7">
        <f t="shared" si="47"/>
        <v>-2.0365278145534571E-2</v>
      </c>
      <c r="N144" s="3">
        <v>14.671716999999999</v>
      </c>
      <c r="O144" s="7">
        <f t="shared" si="48"/>
        <v>-1.5312944173099918E-2</v>
      </c>
      <c r="P144" s="3">
        <v>46.407707000000002</v>
      </c>
      <c r="Q144" s="7">
        <f t="shared" si="49"/>
        <v>-1.1632895291781353E-2</v>
      </c>
      <c r="R144" s="3">
        <v>7.1891499999999997</v>
      </c>
      <c r="S144" s="7">
        <f t="shared" si="50"/>
        <v>-1.8716610751469354E-2</v>
      </c>
      <c r="T144" s="3">
        <v>62.653266000000002</v>
      </c>
      <c r="U144" s="7">
        <f t="shared" si="51"/>
        <v>-7.9551201707487307E-3</v>
      </c>
      <c r="V144" s="3">
        <v>49.218285000000002</v>
      </c>
      <c r="W144" s="7">
        <f t="shared" si="52"/>
        <v>-1.0210092942942173E-2</v>
      </c>
      <c r="X144" s="3">
        <v>150.57060300000001</v>
      </c>
      <c r="Y144" s="7">
        <f t="shared" si="53"/>
        <v>-2.1743591964810127E-3</v>
      </c>
      <c r="Z144" s="3">
        <v>131.372523</v>
      </c>
      <c r="AA144" s="7">
        <f t="shared" si="54"/>
        <v>-2.224681075456636E-2</v>
      </c>
      <c r="AB144" s="3">
        <v>9.66</v>
      </c>
      <c r="AC144" s="7">
        <f t="shared" si="55"/>
        <v>3.1152647975076775E-3</v>
      </c>
      <c r="AD144" s="3">
        <v>79.401356000000007</v>
      </c>
      <c r="AE144" s="7">
        <f t="shared" si="56"/>
        <v>-2.3532225517997385E-2</v>
      </c>
      <c r="AF144" s="3">
        <v>67.944014999999993</v>
      </c>
      <c r="AG144" s="7">
        <f t="shared" si="57"/>
        <v>-7.3465020893581645E-3</v>
      </c>
      <c r="AH144" s="3">
        <v>22.468527999999999</v>
      </c>
      <c r="AI144" s="7">
        <f t="shared" si="58"/>
        <v>-4.8223876924738951E-3</v>
      </c>
      <c r="AJ144" s="3">
        <v>85.798477000000005</v>
      </c>
      <c r="AK144" s="7">
        <f t="shared" si="59"/>
        <v>-4.8609577603879739E-3</v>
      </c>
      <c r="AL144" s="3">
        <v>7.7</v>
      </c>
      <c r="AM144" s="7">
        <f t="shared" si="60"/>
        <v>1.5831134564643801E-2</v>
      </c>
      <c r="AN144" s="3">
        <v>0.46</v>
      </c>
      <c r="AO144" s="7">
        <f t="shared" si="61"/>
        <v>-7.999999999999996E-2</v>
      </c>
      <c r="AP144" s="3">
        <v>11.77</v>
      </c>
      <c r="AQ144" s="7">
        <f t="shared" si="62"/>
        <v>-3.7612428454619873E-2</v>
      </c>
    </row>
    <row r="145" spans="1:43" x14ac:dyDescent="0.3">
      <c r="A145" s="4">
        <v>42487</v>
      </c>
      <c r="B145" s="3">
        <v>18041.550781000002</v>
      </c>
      <c r="C145" s="7">
        <f t="shared" si="42"/>
        <v>2.8476685301612736E-3</v>
      </c>
      <c r="D145" s="3">
        <v>96.210203000000007</v>
      </c>
      <c r="E145" s="7">
        <f t="shared" si="43"/>
        <v>-6.2577848575199657E-2</v>
      </c>
      <c r="F145" s="3">
        <v>95.639999000000003</v>
      </c>
      <c r="G145" s="7">
        <f t="shared" si="44"/>
        <v>-5.3042432594020417E-3</v>
      </c>
      <c r="H145" s="3">
        <v>50.272843999999999</v>
      </c>
      <c r="I145" s="7">
        <f t="shared" si="45"/>
        <v>-9.7200709699206689E-3</v>
      </c>
      <c r="J145" s="3">
        <v>40.543228999999997</v>
      </c>
      <c r="K145" s="7">
        <f t="shared" si="46"/>
        <v>4.9199729511166801E-3</v>
      </c>
      <c r="L145" s="3">
        <v>79.664662000000007</v>
      </c>
      <c r="M145" s="7">
        <f t="shared" si="47"/>
        <v>1.9119460675574018E-2</v>
      </c>
      <c r="N145" s="3">
        <v>14.899877999999999</v>
      </c>
      <c r="O145" s="7">
        <f t="shared" si="48"/>
        <v>-4.6388218888796517E-3</v>
      </c>
      <c r="P145" s="3">
        <v>46.953916999999997</v>
      </c>
      <c r="Q145" s="7">
        <f t="shared" si="49"/>
        <v>4.8833040443381215E-3</v>
      </c>
      <c r="R145" s="3">
        <v>7.3262729999999996</v>
      </c>
      <c r="S145" s="7">
        <f t="shared" si="50"/>
        <v>-1.4492712683272568E-2</v>
      </c>
      <c r="T145" s="3">
        <v>63.155676999999997</v>
      </c>
      <c r="U145" s="7">
        <f t="shared" si="51"/>
        <v>2.8155863579544249E-3</v>
      </c>
      <c r="V145" s="3">
        <v>49.725991999999998</v>
      </c>
      <c r="W145" s="7">
        <f t="shared" si="52"/>
        <v>1.9643486213127836E-4</v>
      </c>
      <c r="X145" s="3">
        <v>150.89871099999999</v>
      </c>
      <c r="Y145" s="7">
        <f t="shared" si="53"/>
        <v>-2.4975519666197155E-3</v>
      </c>
      <c r="Z145" s="3">
        <v>134.36164099999999</v>
      </c>
      <c r="AA145" s="7">
        <f t="shared" si="54"/>
        <v>3.029431395188853E-3</v>
      </c>
      <c r="AB145" s="3">
        <v>9.6300000000000008</v>
      </c>
      <c r="AC145" s="7">
        <f t="shared" si="55"/>
        <v>1.475237091675452E-2</v>
      </c>
      <c r="AD145" s="3">
        <v>81.314875999999998</v>
      </c>
      <c r="AE145" s="7">
        <f t="shared" si="56"/>
        <v>8.3535425969909483E-3</v>
      </c>
      <c r="AF145" s="3">
        <v>68.446860000000001</v>
      </c>
      <c r="AG145" s="7">
        <f t="shared" si="57"/>
        <v>1.7315310392886918E-3</v>
      </c>
      <c r="AH145" s="3">
        <v>22.577404999999999</v>
      </c>
      <c r="AI145" s="7">
        <f t="shared" si="58"/>
        <v>3.3998177151207232E-2</v>
      </c>
      <c r="AJ145" s="3">
        <v>86.217577000000006</v>
      </c>
      <c r="AK145" s="7">
        <f t="shared" si="59"/>
        <v>9.471655646545285E-3</v>
      </c>
      <c r="AL145" s="3">
        <v>7.58</v>
      </c>
      <c r="AM145" s="7">
        <f t="shared" si="60"/>
        <v>4.9861495844875314E-2</v>
      </c>
      <c r="AN145" s="3">
        <v>0.5</v>
      </c>
      <c r="AO145" s="7">
        <f t="shared" si="61"/>
        <v>0.13636363636363646</v>
      </c>
      <c r="AP145" s="3">
        <v>12.23</v>
      </c>
      <c r="AQ145" s="7">
        <f t="shared" si="62"/>
        <v>6.9055944055944174E-2</v>
      </c>
    </row>
    <row r="146" spans="1:43" x14ac:dyDescent="0.3">
      <c r="A146" s="4">
        <v>42486</v>
      </c>
      <c r="B146" s="3">
        <v>17990.320312</v>
      </c>
      <c r="C146" s="7">
        <f t="shared" si="42"/>
        <v>7.2759098892505314E-4</v>
      </c>
      <c r="D146" s="3">
        <v>102.632739</v>
      </c>
      <c r="E146" s="7">
        <f t="shared" si="43"/>
        <v>-6.9471208084076475E-3</v>
      </c>
      <c r="F146" s="3">
        <v>96.150002000000001</v>
      </c>
      <c r="G146" s="7">
        <f t="shared" si="44"/>
        <v>3.6534341235876511E-3</v>
      </c>
      <c r="H146" s="3">
        <v>50.766295999999997</v>
      </c>
      <c r="I146" s="7">
        <f t="shared" si="45"/>
        <v>-1.2857453780148131E-2</v>
      </c>
      <c r="J146" s="3">
        <v>40.344734000000003</v>
      </c>
      <c r="K146" s="7">
        <f t="shared" si="46"/>
        <v>-3.1877694570220383E-3</v>
      </c>
      <c r="L146" s="3">
        <v>78.170091999999997</v>
      </c>
      <c r="M146" s="7">
        <f t="shared" si="47"/>
        <v>-5.6284771081304141E-3</v>
      </c>
      <c r="N146" s="3">
        <v>14.969317999999999</v>
      </c>
      <c r="O146" s="7">
        <f t="shared" si="48"/>
        <v>8.6898852904953028E-3</v>
      </c>
      <c r="P146" s="3">
        <v>46.725740999999999</v>
      </c>
      <c r="Q146" s="7">
        <f t="shared" si="49"/>
        <v>8.7813210298435251E-3</v>
      </c>
      <c r="R146" s="3">
        <v>7.4340120000000001</v>
      </c>
      <c r="S146" s="7">
        <f t="shared" si="50"/>
        <v>0</v>
      </c>
      <c r="T146" s="3">
        <v>62.978355999999998</v>
      </c>
      <c r="U146" s="7">
        <f t="shared" si="51"/>
        <v>5.1887159402033145E-3</v>
      </c>
      <c r="V146" s="3">
        <v>49.716225999999999</v>
      </c>
      <c r="W146" s="7">
        <f t="shared" si="52"/>
        <v>8.1171963965631644E-3</v>
      </c>
      <c r="X146" s="3">
        <v>151.276532</v>
      </c>
      <c r="Y146" s="7">
        <f t="shared" si="53"/>
        <v>7.1943206680094018E-3</v>
      </c>
      <c r="Z146" s="3">
        <v>133.95583099999999</v>
      </c>
      <c r="AA146" s="7">
        <f t="shared" si="54"/>
        <v>-2.2852742867640607E-3</v>
      </c>
      <c r="AB146" s="3">
        <v>9.49</v>
      </c>
      <c r="AC146" s="7">
        <f t="shared" si="55"/>
        <v>2.1119324181626542E-3</v>
      </c>
      <c r="AD146" s="3">
        <v>80.641236000000006</v>
      </c>
      <c r="AE146" s="7">
        <f t="shared" si="56"/>
        <v>0</v>
      </c>
      <c r="AF146" s="3">
        <v>68.328547</v>
      </c>
      <c r="AG146" s="7">
        <f t="shared" si="57"/>
        <v>-2.4470859776480891E-3</v>
      </c>
      <c r="AH146" s="3">
        <v>21.835052999999998</v>
      </c>
      <c r="AI146" s="7">
        <f t="shared" si="58"/>
        <v>1.425287764233496E-2</v>
      </c>
      <c r="AJ146" s="3">
        <v>85.408615999999995</v>
      </c>
      <c r="AK146" s="7">
        <f t="shared" si="59"/>
        <v>3.435196990937861E-3</v>
      </c>
      <c r="AL146" s="3">
        <v>7.22</v>
      </c>
      <c r="AM146" s="7">
        <f t="shared" si="60"/>
        <v>4.1847041847041799E-2</v>
      </c>
      <c r="AN146" s="3">
        <v>0.44</v>
      </c>
      <c r="AO146" s="7">
        <f t="shared" si="61"/>
        <v>2.3255813953488413E-2</v>
      </c>
      <c r="AP146" s="3">
        <v>11.44</v>
      </c>
      <c r="AQ146" s="7">
        <f t="shared" si="62"/>
        <v>3.342366757000903E-2</v>
      </c>
    </row>
    <row r="147" spans="1:43" x14ac:dyDescent="0.3">
      <c r="A147" s="4">
        <v>42485</v>
      </c>
      <c r="B147" s="3">
        <v>17977.240234000001</v>
      </c>
      <c r="C147" s="7">
        <f t="shared" si="42"/>
        <v>-1.4724580156911804E-3</v>
      </c>
      <c r="D147" s="3">
        <v>103.350729</v>
      </c>
      <c r="E147" s="7">
        <f t="shared" si="43"/>
        <v>-5.6775077102984017E-3</v>
      </c>
      <c r="F147" s="3">
        <v>95.800003000000004</v>
      </c>
      <c r="G147" s="7">
        <f t="shared" si="44"/>
        <v>1.0655153384796279E-2</v>
      </c>
      <c r="H147" s="3">
        <v>51.427523000000001</v>
      </c>
      <c r="I147" s="7">
        <f t="shared" si="45"/>
        <v>6.373155660941654E-3</v>
      </c>
      <c r="J147" s="3">
        <v>40.473754999999997</v>
      </c>
      <c r="K147" s="7">
        <f t="shared" si="46"/>
        <v>1.9655467726458209E-3</v>
      </c>
      <c r="L147" s="3">
        <v>78.612560999999999</v>
      </c>
      <c r="M147" s="7">
        <f t="shared" si="47"/>
        <v>-3.1172083818765683E-3</v>
      </c>
      <c r="N147" s="3">
        <v>14.840356999999999</v>
      </c>
      <c r="O147" s="7">
        <f t="shared" si="48"/>
        <v>-9.9271760246424368E-3</v>
      </c>
      <c r="P147" s="3">
        <v>46.318998999999998</v>
      </c>
      <c r="Q147" s="7">
        <f t="shared" si="49"/>
        <v>-5.9613135904228454E-3</v>
      </c>
      <c r="R147" s="3">
        <v>7.4340120000000001</v>
      </c>
      <c r="S147" s="7">
        <f t="shared" si="50"/>
        <v>-2.4421701109748062E-2</v>
      </c>
      <c r="T147" s="3">
        <v>62.653266000000002</v>
      </c>
      <c r="U147" s="7">
        <f t="shared" si="51"/>
        <v>-5.7840042904729883E-3</v>
      </c>
      <c r="V147" s="3">
        <v>49.315919000000001</v>
      </c>
      <c r="W147" s="7">
        <f t="shared" si="52"/>
        <v>-2.1730632861787225E-3</v>
      </c>
      <c r="X147" s="3">
        <v>150.19597400000001</v>
      </c>
      <c r="Y147" s="7">
        <f t="shared" si="53"/>
        <v>1.0605634982592926E-2</v>
      </c>
      <c r="Z147" s="3">
        <v>134.26265799999999</v>
      </c>
      <c r="AA147" s="7">
        <f t="shared" si="54"/>
        <v>-7.3782756738083322E-5</v>
      </c>
      <c r="AB147" s="3">
        <v>9.4700000000000006</v>
      </c>
      <c r="AC147" s="7">
        <f t="shared" si="55"/>
        <v>-6.2959076600208608E-3</v>
      </c>
      <c r="AD147" s="3">
        <v>80.641236000000006</v>
      </c>
      <c r="AE147" s="7">
        <f t="shared" si="56"/>
        <v>3.2794443011903152E-3</v>
      </c>
      <c r="AF147" s="3">
        <v>68.496162999999996</v>
      </c>
      <c r="AG147" s="7">
        <f t="shared" si="57"/>
        <v>1.0913861831120419E-2</v>
      </c>
      <c r="AH147" s="3">
        <v>21.528213999999998</v>
      </c>
      <c r="AI147" s="7">
        <f t="shared" si="58"/>
        <v>-3.2042718468952125E-2</v>
      </c>
      <c r="AJ147" s="3">
        <v>85.116225</v>
      </c>
      <c r="AK147" s="7">
        <f t="shared" si="59"/>
        <v>-2.2848947110690743E-3</v>
      </c>
      <c r="AL147" s="3">
        <v>6.93</v>
      </c>
      <c r="AM147" s="7">
        <f t="shared" si="60"/>
        <v>-3.7500000000000089E-2</v>
      </c>
      <c r="AN147" s="3">
        <v>0.43</v>
      </c>
      <c r="AO147" s="7">
        <f t="shared" si="61"/>
        <v>0</v>
      </c>
      <c r="AP147" s="3">
        <v>11.07</v>
      </c>
      <c r="AQ147" s="7">
        <f t="shared" si="62"/>
        <v>-1.2488849241748534E-2</v>
      </c>
    </row>
    <row r="148" spans="1:43" x14ac:dyDescent="0.3">
      <c r="A148" s="4">
        <v>42482</v>
      </c>
      <c r="B148" s="3">
        <v>18003.75</v>
      </c>
      <c r="C148" s="7">
        <f t="shared" si="42"/>
        <v>1.1806170410881833E-3</v>
      </c>
      <c r="D148" s="3">
        <v>103.940854</v>
      </c>
      <c r="E148" s="7">
        <f t="shared" si="43"/>
        <v>-2.736627862496066E-3</v>
      </c>
      <c r="F148" s="3">
        <v>94.790001000000004</v>
      </c>
      <c r="G148" s="7">
        <f t="shared" si="44"/>
        <v>-1.6395163959888936E-2</v>
      </c>
      <c r="H148" s="3">
        <v>51.101843000000002</v>
      </c>
      <c r="I148" s="7">
        <f t="shared" si="45"/>
        <v>-7.1710283053665114E-2</v>
      </c>
      <c r="J148" s="3">
        <v>40.394357999999997</v>
      </c>
      <c r="K148" s="7">
        <f t="shared" si="46"/>
        <v>-7.0749156737689445E-3</v>
      </c>
      <c r="L148" s="3">
        <v>78.858378999999999</v>
      </c>
      <c r="M148" s="7">
        <f t="shared" si="47"/>
        <v>9.9842950704442934E-4</v>
      </c>
      <c r="N148" s="3">
        <v>14.989157000000001</v>
      </c>
      <c r="O148" s="7">
        <f t="shared" si="48"/>
        <v>1.4093924450963025E-2</v>
      </c>
      <c r="P148" s="3">
        <v>46.596777000000003</v>
      </c>
      <c r="Q148" s="7">
        <f t="shared" si="49"/>
        <v>7.9399799012385142E-3</v>
      </c>
      <c r="R148" s="3">
        <v>7.6201080000000001</v>
      </c>
      <c r="S148" s="7">
        <f t="shared" si="50"/>
        <v>-8.9171480785555923E-3</v>
      </c>
      <c r="T148" s="3">
        <v>63.017761</v>
      </c>
      <c r="U148" s="7">
        <f t="shared" si="51"/>
        <v>5.8176536239946675E-3</v>
      </c>
      <c r="V148" s="3">
        <v>49.423318999999999</v>
      </c>
      <c r="W148" s="7">
        <f t="shared" si="52"/>
        <v>1.1388592192305591E-2</v>
      </c>
      <c r="X148" s="3">
        <v>148.619767</v>
      </c>
      <c r="Y148" s="7">
        <f t="shared" si="53"/>
        <v>-9.9062228763878712E-3</v>
      </c>
      <c r="Z148" s="3">
        <v>134.27256499999999</v>
      </c>
      <c r="AA148" s="7">
        <f t="shared" si="54"/>
        <v>7.8751701052413026E-3</v>
      </c>
      <c r="AB148" s="3">
        <v>9.5299999999999994</v>
      </c>
      <c r="AC148" s="7">
        <f t="shared" si="55"/>
        <v>-2.0942408376964927E-3</v>
      </c>
      <c r="AD148" s="3">
        <v>80.377641999999994</v>
      </c>
      <c r="AE148" s="7">
        <f t="shared" si="56"/>
        <v>-5.0755139264365701E-3</v>
      </c>
      <c r="AF148" s="3">
        <v>67.756675999999999</v>
      </c>
      <c r="AG148" s="7">
        <f t="shared" si="57"/>
        <v>3.6512270645518985E-3</v>
      </c>
      <c r="AH148" s="3">
        <v>22.240872</v>
      </c>
      <c r="AI148" s="7">
        <f t="shared" si="58"/>
        <v>4.8040994137232174E-2</v>
      </c>
      <c r="AJ148" s="3">
        <v>85.311152000000007</v>
      </c>
      <c r="AK148" s="7">
        <f t="shared" si="59"/>
        <v>8.5263002930386911E-3</v>
      </c>
      <c r="AL148" s="3">
        <v>7.2</v>
      </c>
      <c r="AM148" s="7">
        <f t="shared" si="60"/>
        <v>5.2631578947368363E-2</v>
      </c>
      <c r="AN148" s="3">
        <v>0.43</v>
      </c>
      <c r="AO148" s="7">
        <f t="shared" si="61"/>
        <v>2.3809523809523725E-2</v>
      </c>
      <c r="AP148" s="3">
        <v>11.21</v>
      </c>
      <c r="AQ148" s="7">
        <f t="shared" si="62"/>
        <v>0.10552268244575935</v>
      </c>
    </row>
    <row r="149" spans="1:43" x14ac:dyDescent="0.3">
      <c r="A149" s="4">
        <v>42481</v>
      </c>
      <c r="B149" s="3">
        <v>17982.519531000002</v>
      </c>
      <c r="C149" s="7">
        <f t="shared" si="42"/>
        <v>-6.2858259159512819E-3</v>
      </c>
      <c r="D149" s="3">
        <v>104.22608200000001</v>
      </c>
      <c r="E149" s="7">
        <f t="shared" si="43"/>
        <v>-1.0827935872780747E-2</v>
      </c>
      <c r="F149" s="3">
        <v>96.370002999999997</v>
      </c>
      <c r="G149" s="7">
        <f t="shared" si="44"/>
        <v>4.1524965399664104E-4</v>
      </c>
      <c r="H149" s="3">
        <v>55.049455000000002</v>
      </c>
      <c r="I149" s="7">
        <f t="shared" si="45"/>
        <v>3.4178518461203122E-3</v>
      </c>
      <c r="J149" s="3">
        <v>40.682181</v>
      </c>
      <c r="K149" s="7">
        <f t="shared" si="46"/>
        <v>-2.676327080308627E-3</v>
      </c>
      <c r="L149" s="3">
        <v>78.779723000000004</v>
      </c>
      <c r="M149" s="7">
        <f t="shared" si="47"/>
        <v>-5.3383016931402016E-3</v>
      </c>
      <c r="N149" s="3">
        <v>14.780837</v>
      </c>
      <c r="O149" s="7">
        <f t="shared" si="48"/>
        <v>-2.009372073252691E-3</v>
      </c>
      <c r="P149" s="3">
        <v>46.229714000000001</v>
      </c>
      <c r="Q149" s="7">
        <f t="shared" si="49"/>
        <v>-2.9953672317725166E-3</v>
      </c>
      <c r="R149" s="3">
        <v>7.688669</v>
      </c>
      <c r="S149" s="7">
        <f t="shared" si="50"/>
        <v>6.6576137657362811E-2</v>
      </c>
      <c r="T149" s="3">
        <v>62.653266000000002</v>
      </c>
      <c r="U149" s="7">
        <f t="shared" si="51"/>
        <v>-9.9626382695243709E-3</v>
      </c>
      <c r="V149" s="3">
        <v>48.866795000000003</v>
      </c>
      <c r="W149" s="7">
        <f t="shared" si="52"/>
        <v>-7.9286660627633232E-3</v>
      </c>
      <c r="X149" s="3">
        <v>150.10675800000001</v>
      </c>
      <c r="Y149" s="7">
        <f t="shared" si="53"/>
        <v>-8.6421838023161834E-3</v>
      </c>
      <c r="Z149" s="3">
        <v>133.22340800000001</v>
      </c>
      <c r="AA149" s="7">
        <f t="shared" si="54"/>
        <v>-4.364206512957991E-3</v>
      </c>
      <c r="AB149" s="3">
        <v>9.5500000000000007</v>
      </c>
      <c r="AC149" s="7">
        <f t="shared" si="55"/>
        <v>-2.6503567787971472E-2</v>
      </c>
      <c r="AD149" s="3">
        <v>80.787681000000006</v>
      </c>
      <c r="AE149" s="7">
        <f t="shared" si="56"/>
        <v>-1.448083982319992E-3</v>
      </c>
      <c r="AF149" s="3">
        <v>67.510181000000003</v>
      </c>
      <c r="AG149" s="7">
        <f t="shared" si="57"/>
        <v>-1.0692058689206418E-2</v>
      </c>
      <c r="AH149" s="3">
        <v>21.221375999999999</v>
      </c>
      <c r="AI149" s="7">
        <f t="shared" si="58"/>
        <v>-1.9213163247022158E-2</v>
      </c>
      <c r="AJ149" s="3">
        <v>84.589912999999996</v>
      </c>
      <c r="AK149" s="7">
        <f t="shared" si="59"/>
        <v>-1.1522504800587363E-4</v>
      </c>
      <c r="AL149" s="3">
        <v>6.84</v>
      </c>
      <c r="AM149" s="7">
        <f t="shared" si="60"/>
        <v>-1.7241379310344862E-2</v>
      </c>
      <c r="AN149" s="3">
        <v>0.42</v>
      </c>
      <c r="AO149" s="7">
        <f t="shared" si="61"/>
        <v>-4.5454545454545525E-2</v>
      </c>
      <c r="AP149" s="3">
        <v>10.14</v>
      </c>
      <c r="AQ149" s="7">
        <f t="shared" si="62"/>
        <v>-6.9724770642201839E-2</v>
      </c>
    </row>
    <row r="150" spans="1:43" x14ac:dyDescent="0.3">
      <c r="A150" s="4">
        <v>42480</v>
      </c>
      <c r="B150" s="3">
        <v>18096.269531000002</v>
      </c>
      <c r="C150" s="7">
        <f t="shared" si="42"/>
        <v>2.3635132563109007E-3</v>
      </c>
      <c r="D150" s="3">
        <v>105.366989</v>
      </c>
      <c r="E150" s="7">
        <f t="shared" si="43"/>
        <v>2.0577530621195272E-3</v>
      </c>
      <c r="F150" s="3">
        <v>96.330001999999993</v>
      </c>
      <c r="G150" s="7">
        <f t="shared" si="44"/>
        <v>-1.9684521954554945E-3</v>
      </c>
      <c r="H150" s="3">
        <v>54.861944999999999</v>
      </c>
      <c r="I150" s="7">
        <f t="shared" si="45"/>
        <v>-1.4186903644426763E-2</v>
      </c>
      <c r="J150" s="3">
        <v>40.791352000000003</v>
      </c>
      <c r="K150" s="7">
        <f t="shared" si="46"/>
        <v>9.7411994678497926E-4</v>
      </c>
      <c r="L150" s="3">
        <v>79.202529999999996</v>
      </c>
      <c r="M150" s="7">
        <f t="shared" si="47"/>
        <v>-9.9211432079249207E-4</v>
      </c>
      <c r="N150" s="3">
        <v>14.810597</v>
      </c>
      <c r="O150" s="7">
        <f t="shared" si="48"/>
        <v>3.3217979416839238E-2</v>
      </c>
      <c r="P150" s="3">
        <v>46.368605000000002</v>
      </c>
      <c r="Q150" s="7">
        <f t="shared" si="49"/>
        <v>2.4326124676323557E-2</v>
      </c>
      <c r="R150" s="3">
        <v>7.2087389999999996</v>
      </c>
      <c r="S150" s="7">
        <f t="shared" si="50"/>
        <v>1.3604771254676074E-3</v>
      </c>
      <c r="T150" s="3">
        <v>63.283738999999997</v>
      </c>
      <c r="U150" s="7">
        <f t="shared" si="51"/>
        <v>1.4529340385199374E-2</v>
      </c>
      <c r="V150" s="3">
        <v>49.257339999999999</v>
      </c>
      <c r="W150" s="7">
        <f t="shared" si="52"/>
        <v>1.1427426830536547E-2</v>
      </c>
      <c r="X150" s="3">
        <v>151.41531699999999</v>
      </c>
      <c r="Y150" s="7">
        <f t="shared" si="53"/>
        <v>-6.1165239242543246E-3</v>
      </c>
      <c r="Z150" s="3">
        <v>133.80737099999999</v>
      </c>
      <c r="AA150" s="7">
        <f t="shared" si="54"/>
        <v>-1.845834495731058E-3</v>
      </c>
      <c r="AB150" s="3">
        <v>9.81</v>
      </c>
      <c r="AC150" s="7">
        <f t="shared" si="55"/>
        <v>7.1868583162217892E-3</v>
      </c>
      <c r="AD150" s="3">
        <v>80.904837999999998</v>
      </c>
      <c r="AE150" s="7">
        <f t="shared" si="56"/>
        <v>-1.3217436451709919E-2</v>
      </c>
      <c r="AF150" s="3">
        <v>68.239805000000004</v>
      </c>
      <c r="AG150" s="7">
        <f t="shared" si="57"/>
        <v>-8.0263457558764628E-3</v>
      </c>
      <c r="AH150" s="3">
        <v>21.637093</v>
      </c>
      <c r="AI150" s="7">
        <f t="shared" si="58"/>
        <v>2.1972913606889577E-2</v>
      </c>
      <c r="AJ150" s="3">
        <v>84.599660999999998</v>
      </c>
      <c r="AK150" s="7">
        <f t="shared" si="59"/>
        <v>6.8437922249782179E-3</v>
      </c>
      <c r="AL150" s="3">
        <v>6.96</v>
      </c>
      <c r="AM150" s="7">
        <f t="shared" si="60"/>
        <v>-1.4347202295551531E-3</v>
      </c>
      <c r="AN150" s="3">
        <v>0.44</v>
      </c>
      <c r="AO150" s="7">
        <f t="shared" si="61"/>
        <v>-8.3333333333333259E-2</v>
      </c>
      <c r="AP150" s="3">
        <v>10.9</v>
      </c>
      <c r="AQ150" s="7">
        <f t="shared" si="62"/>
        <v>5.5350553505535416E-3</v>
      </c>
    </row>
    <row r="151" spans="1:43" x14ac:dyDescent="0.3">
      <c r="A151" s="4">
        <v>42479</v>
      </c>
      <c r="B151" s="3">
        <v>18053.599609000001</v>
      </c>
      <c r="C151" s="7">
        <f t="shared" si="42"/>
        <v>2.746001622492944E-3</v>
      </c>
      <c r="D151" s="3">
        <v>105.150615</v>
      </c>
      <c r="E151" s="7">
        <f t="shared" si="43"/>
        <v>-5.3033152058057365E-3</v>
      </c>
      <c r="F151" s="3">
        <v>96.519997000000004</v>
      </c>
      <c r="G151" s="7">
        <f t="shared" si="44"/>
        <v>-3.1078196859302132E-4</v>
      </c>
      <c r="H151" s="3">
        <v>55.651466999999997</v>
      </c>
      <c r="I151" s="7">
        <f t="shared" si="45"/>
        <v>-1.2398118826897342E-3</v>
      </c>
      <c r="J151" s="3">
        <v>40.751655</v>
      </c>
      <c r="K151" s="7">
        <f t="shared" si="46"/>
        <v>-4.3647122679567607E-3</v>
      </c>
      <c r="L151" s="3">
        <v>79.281186000000005</v>
      </c>
      <c r="M151" s="7">
        <f t="shared" si="47"/>
        <v>1.625914682039542E-2</v>
      </c>
      <c r="N151" s="3">
        <v>14.334436</v>
      </c>
      <c r="O151" s="7">
        <f t="shared" si="48"/>
        <v>1.976007839691829E-2</v>
      </c>
      <c r="P151" s="3">
        <v>45.267423999999998</v>
      </c>
      <c r="Q151" s="7">
        <f t="shared" si="49"/>
        <v>1.1527375718511257E-2</v>
      </c>
      <c r="R151" s="3">
        <v>7.1989450000000001</v>
      </c>
      <c r="S151" s="7">
        <f t="shared" si="50"/>
        <v>1.2396644819601788E-2</v>
      </c>
      <c r="T151" s="3">
        <v>62.377436000000003</v>
      </c>
      <c r="U151" s="7">
        <f t="shared" si="51"/>
        <v>1.6862052509732717E-2</v>
      </c>
      <c r="V151" s="3">
        <v>48.700814999999999</v>
      </c>
      <c r="W151" s="7">
        <f t="shared" si="52"/>
        <v>2.1294043879258595E-2</v>
      </c>
      <c r="X151" s="3">
        <v>152.34715199999999</v>
      </c>
      <c r="Y151" s="7">
        <f t="shared" si="53"/>
        <v>2.4787317545622578E-3</v>
      </c>
      <c r="Z151" s="3">
        <v>134.05481399999999</v>
      </c>
      <c r="AA151" s="7">
        <f t="shared" si="54"/>
        <v>-9.9415214396092466E-3</v>
      </c>
      <c r="AB151" s="3">
        <v>9.74</v>
      </c>
      <c r="AC151" s="7">
        <f t="shared" si="55"/>
        <v>-1.6161616161616155E-2</v>
      </c>
      <c r="AD151" s="3">
        <v>81.988516000000004</v>
      </c>
      <c r="AE151" s="7">
        <f t="shared" si="56"/>
        <v>6.7130768280869724E-3</v>
      </c>
      <c r="AF151" s="3">
        <v>68.791953000000007</v>
      </c>
      <c r="AG151" s="7">
        <f t="shared" si="57"/>
        <v>-1.2883435627354389E-3</v>
      </c>
      <c r="AH151" s="3">
        <v>21.171885</v>
      </c>
      <c r="AI151" s="7">
        <f t="shared" si="58"/>
        <v>7.32563810614133E-2</v>
      </c>
      <c r="AJ151" s="3">
        <v>84.024614</v>
      </c>
      <c r="AK151" s="7">
        <f t="shared" si="59"/>
        <v>5.0128272640008742E-3</v>
      </c>
      <c r="AL151" s="3">
        <v>6.97</v>
      </c>
      <c r="AM151" s="7">
        <f t="shared" si="60"/>
        <v>7.2307692307692184E-2</v>
      </c>
      <c r="AN151" s="3">
        <v>0.48</v>
      </c>
      <c r="AO151" s="7">
        <f t="shared" si="61"/>
        <v>0.11627906976744184</v>
      </c>
      <c r="AP151" s="3">
        <v>10.84</v>
      </c>
      <c r="AQ151" s="7">
        <f t="shared" si="62"/>
        <v>-1.9004524886877872E-2</v>
      </c>
    </row>
    <row r="152" spans="1:43" x14ac:dyDescent="0.3">
      <c r="A152" s="4">
        <v>42478</v>
      </c>
      <c r="B152" s="3">
        <v>18004.160156000002</v>
      </c>
      <c r="C152" s="7">
        <f t="shared" si="42"/>
        <v>5.9616958164974143E-3</v>
      </c>
      <c r="D152" s="3">
        <v>105.711235</v>
      </c>
      <c r="E152" s="7">
        <f t="shared" si="43"/>
        <v>-2.1574823702958268E-2</v>
      </c>
      <c r="F152" s="3">
        <v>96.550003000000004</v>
      </c>
      <c r="G152" s="7">
        <f t="shared" si="44"/>
        <v>1.4606966599118643E-2</v>
      </c>
      <c r="H152" s="3">
        <v>55.720550000000003</v>
      </c>
      <c r="I152" s="7">
        <f t="shared" si="45"/>
        <v>1.4555209421009963E-2</v>
      </c>
      <c r="J152" s="3">
        <v>40.930304</v>
      </c>
      <c r="K152" s="7">
        <f t="shared" si="46"/>
        <v>5.3632649181303282E-3</v>
      </c>
      <c r="L152" s="3">
        <v>78.012765000000002</v>
      </c>
      <c r="M152" s="7">
        <f t="shared" si="47"/>
        <v>1.0571831124029929E-2</v>
      </c>
      <c r="N152" s="3">
        <v>14.056675</v>
      </c>
      <c r="O152" s="7">
        <f t="shared" si="48"/>
        <v>1.214282654097576E-2</v>
      </c>
      <c r="P152" s="3">
        <v>44.751556000000001</v>
      </c>
      <c r="Q152" s="7">
        <f t="shared" si="49"/>
        <v>4.2298035034082915E-3</v>
      </c>
      <c r="R152" s="3">
        <v>7.1107950000000004</v>
      </c>
      <c r="S152" s="7">
        <f t="shared" si="50"/>
        <v>-1.8918814881572099E-2</v>
      </c>
      <c r="T152" s="3">
        <v>61.343066</v>
      </c>
      <c r="U152" s="7">
        <f t="shared" si="51"/>
        <v>6.4651901944476897E-3</v>
      </c>
      <c r="V152" s="3">
        <v>47.685400000000001</v>
      </c>
      <c r="W152" s="7">
        <f t="shared" si="52"/>
        <v>1.2227976494177062E-2</v>
      </c>
      <c r="X152" s="3">
        <v>151.97045800000001</v>
      </c>
      <c r="Y152" s="7">
        <f t="shared" si="53"/>
        <v>8.4876619434548495E-4</v>
      </c>
      <c r="Z152" s="3">
        <v>135.40090499999999</v>
      </c>
      <c r="AA152" s="7">
        <f t="shared" si="54"/>
        <v>1.3258336852773667E-2</v>
      </c>
      <c r="AB152" s="3">
        <v>9.9</v>
      </c>
      <c r="AC152" s="7">
        <f t="shared" si="55"/>
        <v>5.0761421319798217E-3</v>
      </c>
      <c r="AD152" s="3">
        <v>81.441790999999995</v>
      </c>
      <c r="AE152" s="7">
        <f t="shared" si="56"/>
        <v>9.9273652006026669E-3</v>
      </c>
      <c r="AF152" s="3">
        <v>68.880695000000003</v>
      </c>
      <c r="AG152" s="7">
        <f t="shared" si="57"/>
        <v>1.1584181532530602E-2</v>
      </c>
      <c r="AH152" s="3">
        <v>19.726773000000001</v>
      </c>
      <c r="AI152" s="7">
        <f t="shared" si="58"/>
        <v>2.011105704321281E-3</v>
      </c>
      <c r="AJ152" s="3">
        <v>83.605513999999999</v>
      </c>
      <c r="AK152" s="7">
        <f t="shared" si="59"/>
        <v>9.5327537298959264E-3</v>
      </c>
      <c r="AL152" s="3">
        <v>6.5</v>
      </c>
      <c r="AM152" s="7">
        <f t="shared" si="60"/>
        <v>-3.2738095238095233E-2</v>
      </c>
      <c r="AN152" s="3">
        <v>0.43</v>
      </c>
      <c r="AO152" s="7">
        <f t="shared" si="61"/>
        <v>-8.5106382978723416E-2</v>
      </c>
      <c r="AP152" s="3">
        <v>11.05</v>
      </c>
      <c r="AQ152" s="7">
        <f t="shared" si="62"/>
        <v>3.5613870665417213E-2</v>
      </c>
    </row>
    <row r="153" spans="1:43" x14ac:dyDescent="0.3">
      <c r="A153" s="4">
        <v>42475</v>
      </c>
      <c r="B153" s="3">
        <v>17897.460938</v>
      </c>
      <c r="C153" s="7">
        <f t="shared" si="42"/>
        <v>-1.6159798969558326E-3</v>
      </c>
      <c r="D153" s="3">
        <v>108.042227</v>
      </c>
      <c r="E153" s="7">
        <f t="shared" si="43"/>
        <v>-2.0071370783418918E-2</v>
      </c>
      <c r="F153" s="3">
        <v>95.160004000000001</v>
      </c>
      <c r="G153" s="7">
        <f t="shared" si="44"/>
        <v>7.623909198985368E-3</v>
      </c>
      <c r="H153" s="3">
        <v>54.921160999999998</v>
      </c>
      <c r="I153" s="7">
        <f t="shared" si="45"/>
        <v>5.2384592297114452E-3</v>
      </c>
      <c r="J153" s="3">
        <v>40.711955000000003</v>
      </c>
      <c r="K153" s="7">
        <f t="shared" si="46"/>
        <v>-5.3346537567861008E-3</v>
      </c>
      <c r="L153" s="3">
        <v>77.196655000000007</v>
      </c>
      <c r="M153" s="7">
        <f t="shared" si="47"/>
        <v>-6.5797383698936729E-3</v>
      </c>
      <c r="N153" s="3">
        <v>13.888035</v>
      </c>
      <c r="O153" s="7">
        <f t="shared" si="48"/>
        <v>-9.9010359796836145E-3</v>
      </c>
      <c r="P153" s="3">
        <v>44.563063</v>
      </c>
      <c r="Q153" s="7">
        <f t="shared" si="49"/>
        <v>-1.3339656588273741E-3</v>
      </c>
      <c r="R153" s="3">
        <v>7.2479170000000002</v>
      </c>
      <c r="S153" s="7">
        <f t="shared" si="50"/>
        <v>8.1744017025657811E-3</v>
      </c>
      <c r="T153" s="3">
        <v>60.949019</v>
      </c>
      <c r="U153" s="7">
        <f t="shared" si="51"/>
        <v>-1.1503462883174054E-2</v>
      </c>
      <c r="V153" s="3">
        <v>47.109347999999997</v>
      </c>
      <c r="W153" s="7">
        <f t="shared" si="52"/>
        <v>-1.1067859338273811E-2</v>
      </c>
      <c r="X153" s="3">
        <v>151.84157999999999</v>
      </c>
      <c r="Y153" s="7">
        <f t="shared" si="53"/>
        <v>1.1690911627499689E-2</v>
      </c>
      <c r="Z153" s="3">
        <v>133.62920399999999</v>
      </c>
      <c r="AA153" s="7">
        <f t="shared" si="54"/>
        <v>4.7629642300599517E-3</v>
      </c>
      <c r="AB153" s="3">
        <v>9.85</v>
      </c>
      <c r="AC153" s="7">
        <f t="shared" si="55"/>
        <v>1.9668737060041463E-2</v>
      </c>
      <c r="AD153" s="3">
        <v>80.641236000000006</v>
      </c>
      <c r="AE153" s="7">
        <f t="shared" si="56"/>
        <v>1.0026893307349294E-2</v>
      </c>
      <c r="AF153" s="3">
        <v>68.091905999999994</v>
      </c>
      <c r="AG153" s="7">
        <f t="shared" si="57"/>
        <v>3.778991654465047E-3</v>
      </c>
      <c r="AH153" s="3">
        <v>19.687180000000001</v>
      </c>
      <c r="AI153" s="7">
        <f t="shared" si="58"/>
        <v>-4.0059972587774828E-3</v>
      </c>
      <c r="AJ153" s="3">
        <v>82.816049000000007</v>
      </c>
      <c r="AK153" s="7">
        <f t="shared" si="59"/>
        <v>-5.3845228526748778E-3</v>
      </c>
      <c r="AL153" s="3">
        <v>6.72</v>
      </c>
      <c r="AM153" s="7">
        <f t="shared" si="60"/>
        <v>1.8181818181818299E-2</v>
      </c>
      <c r="AN153" s="3">
        <v>0.47</v>
      </c>
      <c r="AO153" s="7">
        <f t="shared" si="61"/>
        <v>-9.6153846153846256E-2</v>
      </c>
      <c r="AP153" s="3">
        <v>10.67</v>
      </c>
      <c r="AQ153" s="7">
        <f t="shared" si="62"/>
        <v>-1.1121408711770031E-2</v>
      </c>
    </row>
    <row r="154" spans="1:43" x14ac:dyDescent="0.3">
      <c r="A154" s="4">
        <v>42474</v>
      </c>
      <c r="B154" s="3">
        <v>17926.429688</v>
      </c>
      <c r="C154" s="7">
        <f t="shared" si="42"/>
        <v>1.0135195402631858E-3</v>
      </c>
      <c r="D154" s="3">
        <v>110.2552</v>
      </c>
      <c r="E154" s="7">
        <f t="shared" si="43"/>
        <v>5.354994578306016E-4</v>
      </c>
      <c r="F154" s="3">
        <v>94.440002000000007</v>
      </c>
      <c r="G154" s="7">
        <f t="shared" si="44"/>
        <v>-9.5204697928741311E-4</v>
      </c>
      <c r="H154" s="3">
        <v>54.634957999999997</v>
      </c>
      <c r="I154" s="7">
        <f t="shared" si="45"/>
        <v>1.8070451768803508E-4</v>
      </c>
      <c r="J154" s="3">
        <v>40.930304</v>
      </c>
      <c r="K154" s="7">
        <f t="shared" si="46"/>
        <v>-1.6944969799592702E-3</v>
      </c>
      <c r="L154" s="3">
        <v>77.707953000000003</v>
      </c>
      <c r="M154" s="7">
        <f t="shared" si="47"/>
        <v>8.9365097999776211E-3</v>
      </c>
      <c r="N154" s="3">
        <v>14.026916</v>
      </c>
      <c r="O154" s="7">
        <f t="shared" si="48"/>
        <v>2.5380793779752997E-2</v>
      </c>
      <c r="P154" s="3">
        <v>44.622588</v>
      </c>
      <c r="Q154" s="7">
        <f t="shared" si="49"/>
        <v>1.6497165761595545E-2</v>
      </c>
      <c r="R154" s="3">
        <v>7.1891499999999997</v>
      </c>
      <c r="S154" s="7">
        <f t="shared" si="50"/>
        <v>-1.0781690445112901E-2</v>
      </c>
      <c r="T154" s="3">
        <v>61.658302999999997</v>
      </c>
      <c r="U154" s="7">
        <f t="shared" si="51"/>
        <v>1.2947071713829361E-2</v>
      </c>
      <c r="V154" s="3">
        <v>47.636583000000002</v>
      </c>
      <c r="W154" s="7">
        <f t="shared" si="52"/>
        <v>-4.8949145667952498E-3</v>
      </c>
      <c r="X154" s="3">
        <v>150.086927</v>
      </c>
      <c r="Y154" s="7">
        <f t="shared" si="53"/>
        <v>-3.1604624715504404E-3</v>
      </c>
      <c r="Z154" s="3">
        <v>132.99574999999999</v>
      </c>
      <c r="AA154" s="7">
        <f t="shared" si="54"/>
        <v>3.9599408088575316E-3</v>
      </c>
      <c r="AB154" s="3">
        <v>9.66</v>
      </c>
      <c r="AC154" s="7">
        <f t="shared" si="55"/>
        <v>-3.9761431411530879E-2</v>
      </c>
      <c r="AD154" s="3">
        <v>79.840682000000001</v>
      </c>
      <c r="AE154" s="7">
        <f t="shared" si="56"/>
        <v>2.697413848946395E-3</v>
      </c>
      <c r="AF154" s="3">
        <v>67.835555999999997</v>
      </c>
      <c r="AG154" s="7">
        <f t="shared" si="57"/>
        <v>-5.0614507937583042E-3</v>
      </c>
      <c r="AH154" s="3">
        <v>19.766363999999999</v>
      </c>
      <c r="AI154" s="7">
        <f t="shared" si="58"/>
        <v>-8.4409387863763063E-3</v>
      </c>
      <c r="AJ154" s="3">
        <v>83.264387999999997</v>
      </c>
      <c r="AK154" s="7">
        <f t="shared" si="59"/>
        <v>7.0729539943705788E-3</v>
      </c>
      <c r="AL154" s="3">
        <v>6.6</v>
      </c>
      <c r="AM154" s="7">
        <f t="shared" si="60"/>
        <v>-1.9316493313521699E-2</v>
      </c>
      <c r="AN154" s="3">
        <v>0.52</v>
      </c>
      <c r="AO154" s="7">
        <f t="shared" si="61"/>
        <v>-0.14754098360655732</v>
      </c>
      <c r="AP154" s="3">
        <v>10.79</v>
      </c>
      <c r="AQ154" s="7">
        <f t="shared" si="62"/>
        <v>3.4515819750718935E-2</v>
      </c>
    </row>
    <row r="155" spans="1:43" x14ac:dyDescent="0.3">
      <c r="A155" s="4">
        <v>42473</v>
      </c>
      <c r="B155" s="3">
        <v>17908.279297000001</v>
      </c>
      <c r="C155" s="7">
        <f t="shared" si="42"/>
        <v>1.0553956238978701E-2</v>
      </c>
      <c r="D155" s="3">
        <v>110.19619</v>
      </c>
      <c r="E155" s="7">
        <f t="shared" si="43"/>
        <v>1.4487492750352438E-2</v>
      </c>
      <c r="F155" s="3">
        <v>94.529999000000004</v>
      </c>
      <c r="G155" s="7">
        <f t="shared" si="44"/>
        <v>1.1881834979272865E-2</v>
      </c>
      <c r="H155" s="3">
        <v>54.625087000000001</v>
      </c>
      <c r="I155" s="7">
        <f t="shared" si="45"/>
        <v>1.2808723538942468E-2</v>
      </c>
      <c r="J155" s="3">
        <v>40.999777999999999</v>
      </c>
      <c r="K155" s="7">
        <f t="shared" si="46"/>
        <v>2.2018893093702196E-2</v>
      </c>
      <c r="L155" s="3">
        <v>77.019666000000001</v>
      </c>
      <c r="M155" s="7">
        <f t="shared" si="47"/>
        <v>-3.1814723376352161E-3</v>
      </c>
      <c r="N155" s="3">
        <v>13.679714000000001</v>
      </c>
      <c r="O155" s="7">
        <f t="shared" si="48"/>
        <v>3.9186111868444895E-2</v>
      </c>
      <c r="P155" s="3">
        <v>43.898389000000002</v>
      </c>
      <c r="Q155" s="7">
        <f t="shared" si="49"/>
        <v>5.6085871256146502E-2</v>
      </c>
      <c r="R155" s="3">
        <v>7.267506</v>
      </c>
      <c r="S155" s="7">
        <f t="shared" si="50"/>
        <v>4.6544440553156763E-2</v>
      </c>
      <c r="T155" s="3">
        <v>60.870212000000002</v>
      </c>
      <c r="U155" s="7">
        <f t="shared" si="51"/>
        <v>4.2341468540139537E-2</v>
      </c>
      <c r="V155" s="3">
        <v>47.870907000000003</v>
      </c>
      <c r="W155" s="7">
        <f t="shared" si="52"/>
        <v>2.637634309745307E-2</v>
      </c>
      <c r="X155" s="3">
        <v>150.56277499999999</v>
      </c>
      <c r="Y155" s="7">
        <f t="shared" si="53"/>
        <v>9.035350964958333E-3</v>
      </c>
      <c r="Z155" s="3">
        <v>132.471172</v>
      </c>
      <c r="AA155" s="7">
        <f t="shared" si="54"/>
        <v>-4.0185132877469387E-3</v>
      </c>
      <c r="AB155" s="3">
        <v>10.06</v>
      </c>
      <c r="AC155" s="7">
        <f t="shared" si="55"/>
        <v>3.1794871794871948E-2</v>
      </c>
      <c r="AD155" s="3">
        <v>79.625898000000007</v>
      </c>
      <c r="AE155" s="7">
        <f t="shared" si="56"/>
        <v>9.6558401334869703E-3</v>
      </c>
      <c r="AF155" s="3">
        <v>68.180649000000003</v>
      </c>
      <c r="AG155" s="7">
        <f t="shared" si="57"/>
        <v>5.0871994032157808E-3</v>
      </c>
      <c r="AH155" s="3">
        <v>19.934631</v>
      </c>
      <c r="AI155" s="7">
        <f t="shared" si="58"/>
        <v>-1.7561021382870967E-2</v>
      </c>
      <c r="AJ155" s="3">
        <v>82.679598999999996</v>
      </c>
      <c r="AK155" s="7">
        <f t="shared" si="59"/>
        <v>5.690621182761868E-3</v>
      </c>
      <c r="AL155" s="3">
        <v>6.73</v>
      </c>
      <c r="AM155" s="7">
        <f t="shared" si="60"/>
        <v>4.6656298600311175E-2</v>
      </c>
      <c r="AN155" s="3">
        <v>0.61</v>
      </c>
      <c r="AO155" s="7">
        <f t="shared" si="61"/>
        <v>-7.5757575757575801E-2</v>
      </c>
      <c r="AP155" s="3">
        <v>10.43</v>
      </c>
      <c r="AQ155" s="7">
        <f t="shared" si="62"/>
        <v>-4.224058769513328E-2</v>
      </c>
    </row>
    <row r="156" spans="1:43" x14ac:dyDescent="0.3">
      <c r="A156" s="4">
        <v>42472</v>
      </c>
      <c r="B156" s="3">
        <v>17721.25</v>
      </c>
      <c r="C156" s="7">
        <f t="shared" si="42"/>
        <v>9.3891543051962678E-3</v>
      </c>
      <c r="D156" s="3">
        <v>108.622522</v>
      </c>
      <c r="E156" s="7">
        <f t="shared" si="43"/>
        <v>1.302518510339179E-2</v>
      </c>
      <c r="F156" s="3">
        <v>93.419998000000007</v>
      </c>
      <c r="G156" s="7">
        <f t="shared" si="44"/>
        <v>5.0564929012317794E-3</v>
      </c>
      <c r="H156" s="3">
        <v>53.934258</v>
      </c>
      <c r="I156" s="7">
        <f t="shared" si="45"/>
        <v>6.2603745500591224E-3</v>
      </c>
      <c r="J156" s="3">
        <v>40.116458000000002</v>
      </c>
      <c r="K156" s="7">
        <f t="shared" si="46"/>
        <v>4.4731043353101185E-3</v>
      </c>
      <c r="L156" s="3">
        <v>77.265484000000001</v>
      </c>
      <c r="M156" s="7">
        <f t="shared" si="47"/>
        <v>2.1846563105120342E-2</v>
      </c>
      <c r="N156" s="3">
        <v>13.163873000000001</v>
      </c>
      <c r="O156" s="7">
        <f t="shared" si="48"/>
        <v>2.3130241368265692E-2</v>
      </c>
      <c r="P156" s="3">
        <v>41.567064000000002</v>
      </c>
      <c r="Q156" s="7">
        <f t="shared" si="49"/>
        <v>1.8968942883430984E-2</v>
      </c>
      <c r="R156" s="3">
        <v>6.9442880000000002</v>
      </c>
      <c r="S156" s="7">
        <f t="shared" si="50"/>
        <v>5.6631839634771142E-2</v>
      </c>
      <c r="T156" s="3">
        <v>58.397573000000001</v>
      </c>
      <c r="U156" s="7">
        <f t="shared" si="51"/>
        <v>1.8556658487409727E-2</v>
      </c>
      <c r="V156" s="3">
        <v>46.640695999999998</v>
      </c>
      <c r="W156" s="7">
        <f t="shared" si="52"/>
        <v>1.5734680122830635E-2</v>
      </c>
      <c r="X156" s="3">
        <v>149.21456900000001</v>
      </c>
      <c r="Y156" s="7">
        <f t="shared" si="53"/>
        <v>9.8624692813014114E-3</v>
      </c>
      <c r="Z156" s="3">
        <v>133.00565700000001</v>
      </c>
      <c r="AA156" s="7">
        <f t="shared" si="54"/>
        <v>1.0300057141052532E-2</v>
      </c>
      <c r="AB156" s="3">
        <v>9.75</v>
      </c>
      <c r="AC156" s="7">
        <f t="shared" si="55"/>
        <v>-4.0858018386107364E-3</v>
      </c>
      <c r="AD156" s="3">
        <v>78.864395999999999</v>
      </c>
      <c r="AE156" s="7">
        <f t="shared" si="56"/>
        <v>1.266142725554853E-2</v>
      </c>
      <c r="AF156" s="3">
        <v>67.835555999999997</v>
      </c>
      <c r="AG156" s="7">
        <f t="shared" si="57"/>
        <v>2.0771533535835607E-2</v>
      </c>
      <c r="AH156" s="3">
        <v>20.290960999999999</v>
      </c>
      <c r="AI156" s="7">
        <f t="shared" si="58"/>
        <v>8.580515327936955E-2</v>
      </c>
      <c r="AJ156" s="3">
        <v>82.211763000000005</v>
      </c>
      <c r="AK156" s="7">
        <f t="shared" si="59"/>
        <v>1.2361953812976889E-2</v>
      </c>
      <c r="AL156" s="3">
        <v>6.43</v>
      </c>
      <c r="AM156" s="7">
        <f t="shared" si="60"/>
        <v>9.1680814940577227E-2</v>
      </c>
      <c r="AN156" s="3">
        <v>0.66</v>
      </c>
      <c r="AO156" s="7">
        <f t="shared" si="61"/>
        <v>0.24528301886792447</v>
      </c>
      <c r="AP156" s="3">
        <v>10.89</v>
      </c>
      <c r="AQ156" s="7">
        <f t="shared" si="62"/>
        <v>0.14390756302521024</v>
      </c>
    </row>
    <row r="157" spans="1:43" x14ac:dyDescent="0.3">
      <c r="A157" s="4">
        <v>42471</v>
      </c>
      <c r="B157" s="3">
        <v>17556.410156000002</v>
      </c>
      <c r="C157" s="7">
        <f t="shared" si="42"/>
        <v>-1.1691885800103607E-3</v>
      </c>
      <c r="D157" s="3">
        <v>107.22588500000001</v>
      </c>
      <c r="E157" s="7">
        <f t="shared" si="43"/>
        <v>3.3130250168109665E-3</v>
      </c>
      <c r="F157" s="3">
        <v>92.949996999999996</v>
      </c>
      <c r="G157" s="7">
        <f t="shared" si="44"/>
        <v>-1.1906059317529416E-2</v>
      </c>
      <c r="H157" s="3">
        <v>53.598709999999997</v>
      </c>
      <c r="I157" s="7">
        <f t="shared" si="45"/>
        <v>-2.0212720934023043E-3</v>
      </c>
      <c r="J157" s="3">
        <v>39.937812000000001</v>
      </c>
      <c r="K157" s="7">
        <f t="shared" si="46"/>
        <v>7.4328177936799911E-4</v>
      </c>
      <c r="L157" s="3">
        <v>75.613586999999995</v>
      </c>
      <c r="M157" s="7">
        <f t="shared" si="47"/>
        <v>2.4768927177745148E-3</v>
      </c>
      <c r="N157" s="3">
        <v>12.866273</v>
      </c>
      <c r="O157" s="7">
        <f t="shared" si="48"/>
        <v>6.9876384050329143E-3</v>
      </c>
      <c r="P157" s="3">
        <v>40.793258999999999</v>
      </c>
      <c r="Q157" s="7">
        <f t="shared" si="49"/>
        <v>1.6061227406523937E-2</v>
      </c>
      <c r="R157" s="3">
        <v>6.5720980000000004</v>
      </c>
      <c r="S157" s="7">
        <f t="shared" si="50"/>
        <v>2.9895418686187725E-3</v>
      </c>
      <c r="T157" s="3">
        <v>57.333652000000001</v>
      </c>
      <c r="U157" s="7">
        <f t="shared" si="51"/>
        <v>7.9667372825484861E-3</v>
      </c>
      <c r="V157" s="3">
        <v>45.918188000000001</v>
      </c>
      <c r="W157" s="7">
        <f t="shared" si="52"/>
        <v>-8.4983337991295649E-4</v>
      </c>
      <c r="X157" s="3">
        <v>147.757317</v>
      </c>
      <c r="Y157" s="7">
        <f t="shared" si="53"/>
        <v>-1.7144684417261025E-2</v>
      </c>
      <c r="Z157" s="3">
        <v>131.64965799999999</v>
      </c>
      <c r="AA157" s="7">
        <f t="shared" si="54"/>
        <v>-4.5651900722114558E-3</v>
      </c>
      <c r="AB157" s="3">
        <v>9.7899999999999991</v>
      </c>
      <c r="AC157" s="7">
        <f t="shared" si="55"/>
        <v>-2.2954091816367317E-2</v>
      </c>
      <c r="AD157" s="3">
        <v>77.878344999999996</v>
      </c>
      <c r="AE157" s="7">
        <f t="shared" si="56"/>
        <v>-1.3724040479560773E-2</v>
      </c>
      <c r="AF157" s="3">
        <v>66.455179999999999</v>
      </c>
      <c r="AG157" s="7">
        <f t="shared" si="57"/>
        <v>-9.6972660714723657E-3</v>
      </c>
      <c r="AH157" s="3">
        <v>18.687479</v>
      </c>
      <c r="AI157" s="7">
        <f t="shared" si="58"/>
        <v>1.9989135022588256E-2</v>
      </c>
      <c r="AJ157" s="3">
        <v>81.207875000000001</v>
      </c>
      <c r="AK157" s="7">
        <f t="shared" si="59"/>
        <v>1.3219744124899346E-3</v>
      </c>
      <c r="AL157" s="3">
        <v>5.89</v>
      </c>
      <c r="AM157" s="7">
        <f t="shared" si="60"/>
        <v>2.4347826086956514E-2</v>
      </c>
      <c r="AN157" s="3">
        <v>0.53</v>
      </c>
      <c r="AO157" s="7">
        <f t="shared" si="61"/>
        <v>0.10416666666666674</v>
      </c>
      <c r="AP157" s="3">
        <v>9.52</v>
      </c>
      <c r="AQ157" s="7">
        <f t="shared" si="62"/>
        <v>3.1612223393044925E-3</v>
      </c>
    </row>
    <row r="158" spans="1:43" x14ac:dyDescent="0.3">
      <c r="A158" s="4">
        <v>42468</v>
      </c>
      <c r="B158" s="3">
        <v>17576.960938</v>
      </c>
      <c r="C158" s="7">
        <f t="shared" si="42"/>
        <v>1.9952159353051613E-3</v>
      </c>
      <c r="D158" s="3">
        <v>106.871816</v>
      </c>
      <c r="E158" s="7">
        <f t="shared" si="43"/>
        <v>1.1056094796373372E-3</v>
      </c>
      <c r="F158" s="3">
        <v>94.07</v>
      </c>
      <c r="G158" s="7">
        <f t="shared" si="44"/>
        <v>3.0923544795515845E-3</v>
      </c>
      <c r="H158" s="3">
        <v>53.707267000000002</v>
      </c>
      <c r="I158" s="7">
        <f t="shared" si="45"/>
        <v>-7.3450030759070195E-4</v>
      </c>
      <c r="J158" s="3">
        <v>39.908149000000002</v>
      </c>
      <c r="K158" s="7">
        <f t="shared" si="46"/>
        <v>9.7573244010409343E-3</v>
      </c>
      <c r="L158" s="3">
        <v>75.426762999999994</v>
      </c>
      <c r="M158" s="7">
        <f t="shared" si="47"/>
        <v>-7.2472873608602217E-3</v>
      </c>
      <c r="N158" s="3">
        <v>12.776992</v>
      </c>
      <c r="O158" s="7">
        <f t="shared" si="48"/>
        <v>2.3346244894577595E-3</v>
      </c>
      <c r="P158" s="3">
        <v>40.148426000000001</v>
      </c>
      <c r="Q158" s="7">
        <f t="shared" si="49"/>
        <v>4.9665063947161858E-3</v>
      </c>
      <c r="R158" s="3">
        <v>6.5525089999999997</v>
      </c>
      <c r="S158" s="7">
        <f t="shared" si="50"/>
        <v>1.5174533864719564E-2</v>
      </c>
      <c r="T158" s="3">
        <v>56.880499999999998</v>
      </c>
      <c r="U158" s="7">
        <f t="shared" si="51"/>
        <v>7.3273209455122501E-3</v>
      </c>
      <c r="V158" s="3">
        <v>45.957244000000003</v>
      </c>
      <c r="W158" s="7">
        <f t="shared" si="52"/>
        <v>2.9831590425555277E-3</v>
      </c>
      <c r="X158" s="3">
        <v>150.33475899999999</v>
      </c>
      <c r="Y158" s="7">
        <f t="shared" si="53"/>
        <v>-2.4995377259546814E-3</v>
      </c>
      <c r="Z158" s="3">
        <v>132.25342000000001</v>
      </c>
      <c r="AA158" s="7">
        <f t="shared" si="54"/>
        <v>-1.8674821763237093E-3</v>
      </c>
      <c r="AB158" s="3">
        <v>10.02</v>
      </c>
      <c r="AC158" s="7">
        <f t="shared" si="55"/>
        <v>-1.3779527559055205E-2</v>
      </c>
      <c r="AD158" s="3">
        <v>78.962023000000002</v>
      </c>
      <c r="AE158" s="7">
        <f t="shared" si="56"/>
        <v>-8.4590241937207988E-3</v>
      </c>
      <c r="AF158" s="3">
        <v>67.105924000000002</v>
      </c>
      <c r="AG158" s="7">
        <f t="shared" si="57"/>
        <v>-2.3454111977361247E-3</v>
      </c>
      <c r="AH158" s="3">
        <v>18.321252999999999</v>
      </c>
      <c r="AI158" s="7">
        <f t="shared" si="58"/>
        <v>5.5904108794024854E-2</v>
      </c>
      <c r="AJ158" s="3">
        <v>81.100662</v>
      </c>
      <c r="AK158" s="7">
        <f t="shared" si="59"/>
        <v>1.0197832738513046E-2</v>
      </c>
      <c r="AL158" s="3">
        <v>5.75</v>
      </c>
      <c r="AM158" s="7">
        <f t="shared" si="60"/>
        <v>8.0827067669172914E-2</v>
      </c>
      <c r="AN158" s="3">
        <v>0.48</v>
      </c>
      <c r="AO158" s="7">
        <f t="shared" si="61"/>
        <v>-7.6923076923076983E-2</v>
      </c>
      <c r="AP158" s="3">
        <v>9.49</v>
      </c>
      <c r="AQ158" s="7">
        <f t="shared" si="62"/>
        <v>6.7491563554555656E-2</v>
      </c>
    </row>
    <row r="159" spans="1:43" x14ac:dyDescent="0.3">
      <c r="A159" s="4">
        <v>42467</v>
      </c>
      <c r="B159" s="3">
        <v>17541.960938</v>
      </c>
      <c r="C159" s="7">
        <f t="shared" si="42"/>
        <v>-9.8266732892133835E-3</v>
      </c>
      <c r="D159" s="3">
        <v>106.753788</v>
      </c>
      <c r="E159" s="7">
        <f t="shared" si="43"/>
        <v>-2.1809645486980944E-2</v>
      </c>
      <c r="F159" s="3">
        <v>93.779999000000004</v>
      </c>
      <c r="G159" s="7">
        <f t="shared" si="44"/>
        <v>-1.698116316601328E-2</v>
      </c>
      <c r="H159" s="3">
        <v>53.746744</v>
      </c>
      <c r="I159" s="7">
        <f t="shared" si="45"/>
        <v>-1.1973874087514047E-2</v>
      </c>
      <c r="J159" s="3">
        <v>39.522514999999999</v>
      </c>
      <c r="K159" s="7">
        <f t="shared" si="46"/>
        <v>-1.9141092290617001E-2</v>
      </c>
      <c r="L159" s="3">
        <v>75.977393000000006</v>
      </c>
      <c r="M159" s="7">
        <f t="shared" si="47"/>
        <v>-2.4245555914009342E-2</v>
      </c>
      <c r="N159" s="3">
        <v>12.747232</v>
      </c>
      <c r="O159" s="7">
        <f t="shared" si="48"/>
        <v>-3.165033573326026E-2</v>
      </c>
      <c r="P159" s="3">
        <v>39.950014000000003</v>
      </c>
      <c r="Q159" s="7">
        <f t="shared" si="49"/>
        <v>-3.7983759148783269E-2</v>
      </c>
      <c r="R159" s="3">
        <v>6.4545640000000004</v>
      </c>
      <c r="S159" s="7">
        <f t="shared" si="50"/>
        <v>-2.6587933851767387E-2</v>
      </c>
      <c r="T159" s="3">
        <v>56.466749999999998</v>
      </c>
      <c r="U159" s="7">
        <f t="shared" si="51"/>
        <v>-2.5335856455451222E-2</v>
      </c>
      <c r="V159" s="3">
        <v>45.820554000000001</v>
      </c>
      <c r="W159" s="7">
        <f t="shared" si="52"/>
        <v>-2.3918500608680171E-2</v>
      </c>
      <c r="X159" s="3">
        <v>150.711468</v>
      </c>
      <c r="Y159" s="7">
        <f t="shared" si="53"/>
        <v>-3.0235409525197321E-2</v>
      </c>
      <c r="Z159" s="3">
        <v>132.50086300000001</v>
      </c>
      <c r="AA159" s="7">
        <f t="shared" si="54"/>
        <v>-1.1591907471521168E-2</v>
      </c>
      <c r="AB159" s="3">
        <v>10.16</v>
      </c>
      <c r="AC159" s="7">
        <f t="shared" si="55"/>
        <v>-3.9697542533081331E-2</v>
      </c>
      <c r="AD159" s="3">
        <v>79.635662999999994</v>
      </c>
      <c r="AE159" s="7">
        <f t="shared" si="56"/>
        <v>-7.3019139411285572E-3</v>
      </c>
      <c r="AF159" s="3">
        <v>67.263684999999995</v>
      </c>
      <c r="AG159" s="7">
        <f t="shared" si="57"/>
        <v>-1.1877170398073122E-2</v>
      </c>
      <c r="AH159" s="3">
        <v>17.351247000000001</v>
      </c>
      <c r="AI159" s="7">
        <f t="shared" si="58"/>
        <v>-4.0503492095091187E-2</v>
      </c>
      <c r="AJ159" s="3">
        <v>80.281959999999998</v>
      </c>
      <c r="AK159" s="7">
        <f t="shared" si="59"/>
        <v>-1.1283092912760084E-2</v>
      </c>
      <c r="AL159" s="3">
        <v>5.32</v>
      </c>
      <c r="AM159" s="7">
        <f t="shared" si="60"/>
        <v>0</v>
      </c>
      <c r="AN159" s="3">
        <v>0.52</v>
      </c>
      <c r="AO159" s="7">
        <f t="shared" si="61"/>
        <v>8.3333333333333481E-2</v>
      </c>
      <c r="AP159" s="3">
        <v>8.89</v>
      </c>
      <c r="AQ159" s="7">
        <f t="shared" si="62"/>
        <v>2.8935185185185119E-2</v>
      </c>
    </row>
    <row r="160" spans="1:43" x14ac:dyDescent="0.3">
      <c r="A160" s="4">
        <v>42466</v>
      </c>
      <c r="B160" s="3">
        <v>17716.050781000002</v>
      </c>
      <c r="C160" s="7">
        <f t="shared" si="42"/>
        <v>6.4039321560918072E-3</v>
      </c>
      <c r="D160" s="3">
        <v>109.133961</v>
      </c>
      <c r="E160" s="7">
        <f t="shared" si="43"/>
        <v>1.0472646170516686E-2</v>
      </c>
      <c r="F160" s="3">
        <v>95.400002000000001</v>
      </c>
      <c r="G160" s="7">
        <f t="shared" si="44"/>
        <v>1.3061527302995035E-2</v>
      </c>
      <c r="H160" s="3">
        <v>54.398099999999999</v>
      </c>
      <c r="I160" s="7">
        <f t="shared" si="45"/>
        <v>1.0263896832407582E-2</v>
      </c>
      <c r="J160" s="3">
        <v>40.293782</v>
      </c>
      <c r="K160" s="7">
        <f t="shared" si="46"/>
        <v>5.4281034919339E-3</v>
      </c>
      <c r="L160" s="3">
        <v>77.865279999999998</v>
      </c>
      <c r="M160" s="7">
        <f t="shared" si="47"/>
        <v>1.7212641760642411E-2</v>
      </c>
      <c r="N160" s="3">
        <v>13.163873000000001</v>
      </c>
      <c r="O160" s="7">
        <f t="shared" si="48"/>
        <v>6.0652625027208806E-3</v>
      </c>
      <c r="P160" s="3">
        <v>41.527380000000001</v>
      </c>
      <c r="Q160" s="7">
        <f t="shared" si="49"/>
        <v>8.4317547195482678E-3</v>
      </c>
      <c r="R160" s="3">
        <v>6.630865</v>
      </c>
      <c r="S160" s="7">
        <f t="shared" si="50"/>
        <v>-5.8737252518461514E-3</v>
      </c>
      <c r="T160" s="3">
        <v>57.934572000000003</v>
      </c>
      <c r="U160" s="7">
        <f t="shared" si="51"/>
        <v>7.7107706961423439E-3</v>
      </c>
      <c r="V160" s="3">
        <v>46.943368999999997</v>
      </c>
      <c r="W160" s="7">
        <f t="shared" si="52"/>
        <v>1.1997562239635107E-2</v>
      </c>
      <c r="X160" s="3">
        <v>155.41036399999999</v>
      </c>
      <c r="Y160" s="7">
        <f t="shared" si="53"/>
        <v>5.0003126674684761E-3</v>
      </c>
      <c r="Z160" s="3">
        <v>134.05481399999999</v>
      </c>
      <c r="AA160" s="7">
        <f t="shared" si="54"/>
        <v>6.390254786565075E-3</v>
      </c>
      <c r="AB160" s="3">
        <v>10.58</v>
      </c>
      <c r="AC160" s="7">
        <f t="shared" si="55"/>
        <v>1.4381591562799612E-2</v>
      </c>
      <c r="AD160" s="3">
        <v>80.221433000000005</v>
      </c>
      <c r="AE160" s="7">
        <f t="shared" si="56"/>
        <v>8.5261837618677561E-4</v>
      </c>
      <c r="AF160" s="3">
        <v>68.072190000000006</v>
      </c>
      <c r="AG160" s="7">
        <f t="shared" si="57"/>
        <v>5.8275242887637635E-3</v>
      </c>
      <c r="AH160" s="3">
        <v>18.0837</v>
      </c>
      <c r="AI160" s="7">
        <f t="shared" si="58"/>
        <v>4.1025693278831099E-2</v>
      </c>
      <c r="AJ160" s="3">
        <v>81.198126000000002</v>
      </c>
      <c r="AK160" s="7">
        <f t="shared" si="59"/>
        <v>1.338034894336193E-2</v>
      </c>
      <c r="AL160" s="3">
        <v>5.32</v>
      </c>
      <c r="AM160" s="7">
        <f t="shared" si="60"/>
        <v>0</v>
      </c>
      <c r="AN160" s="3">
        <v>0.48</v>
      </c>
      <c r="AO160" s="7">
        <f t="shared" si="61"/>
        <v>4.3478260869565188E-2</v>
      </c>
      <c r="AP160" s="3">
        <v>8.64</v>
      </c>
      <c r="AQ160" s="7">
        <f t="shared" si="62"/>
        <v>0.11627906976744184</v>
      </c>
    </row>
    <row r="161" spans="1:43" x14ac:dyDescent="0.3">
      <c r="A161" s="4">
        <v>42465</v>
      </c>
      <c r="B161" s="3">
        <v>17603.320312</v>
      </c>
      <c r="C161" s="7">
        <f t="shared" si="42"/>
        <v>-7.5367699159948343E-3</v>
      </c>
      <c r="D161" s="3">
        <v>108.00288500000001</v>
      </c>
      <c r="E161" s="7">
        <f t="shared" si="43"/>
        <v>-1.1789105104876851E-2</v>
      </c>
      <c r="F161" s="3">
        <v>94.169998000000007</v>
      </c>
      <c r="G161" s="7">
        <f t="shared" si="44"/>
        <v>-3.4920846560846375E-3</v>
      </c>
      <c r="H161" s="3">
        <v>53.845435999999999</v>
      </c>
      <c r="I161" s="7">
        <f t="shared" si="45"/>
        <v>-1.5695458403155227E-2</v>
      </c>
      <c r="J161" s="3">
        <v>40.076244000000003</v>
      </c>
      <c r="K161" s="7">
        <f t="shared" si="46"/>
        <v>-1.3148298042075512E-2</v>
      </c>
      <c r="L161" s="3">
        <v>76.547691999999998</v>
      </c>
      <c r="M161" s="7">
        <f t="shared" si="47"/>
        <v>-2.1247209287719615E-2</v>
      </c>
      <c r="N161" s="3">
        <v>13.084512</v>
      </c>
      <c r="O161" s="7">
        <f t="shared" si="48"/>
        <v>-2.3686247542709093E-2</v>
      </c>
      <c r="P161" s="3">
        <v>41.180159000000003</v>
      </c>
      <c r="Q161" s="7">
        <f t="shared" si="49"/>
        <v>-1.3076636148691811E-2</v>
      </c>
      <c r="R161" s="3">
        <v>6.6700429999999997</v>
      </c>
      <c r="S161" s="7">
        <f t="shared" si="50"/>
        <v>-3.677502805537114E-2</v>
      </c>
      <c r="T161" s="3">
        <v>57.49127</v>
      </c>
      <c r="U161" s="7">
        <f t="shared" si="51"/>
        <v>-1.4189189119673706E-2</v>
      </c>
      <c r="V161" s="3">
        <v>46.386839999999999</v>
      </c>
      <c r="W161" s="7">
        <f t="shared" si="52"/>
        <v>-2.0412414405898027E-2</v>
      </c>
      <c r="X161" s="3">
        <v>154.63713000000001</v>
      </c>
      <c r="Y161" s="7">
        <f t="shared" si="53"/>
        <v>-1.1031450538215637E-2</v>
      </c>
      <c r="Z161" s="3">
        <v>133.203609</v>
      </c>
      <c r="AA161" s="7">
        <f t="shared" si="54"/>
        <v>-2.0022573917487518E-3</v>
      </c>
      <c r="AB161" s="3">
        <v>10.43</v>
      </c>
      <c r="AC161" s="7">
        <f t="shared" si="55"/>
        <v>-1.0436432637571103E-2</v>
      </c>
      <c r="AD161" s="3">
        <v>80.153092999999998</v>
      </c>
      <c r="AE161" s="7">
        <f t="shared" si="56"/>
        <v>-2.4301928770041892E-3</v>
      </c>
      <c r="AF161" s="3">
        <v>67.677796000000001</v>
      </c>
      <c r="AG161" s="7">
        <f t="shared" si="57"/>
        <v>-6.6570091444104751E-3</v>
      </c>
      <c r="AH161" s="3">
        <v>17.371041000000002</v>
      </c>
      <c r="AI161" s="7">
        <f t="shared" si="58"/>
        <v>-1.7357283941440538E-2</v>
      </c>
      <c r="AJ161" s="3">
        <v>80.126012000000003</v>
      </c>
      <c r="AK161" s="7">
        <f t="shared" si="59"/>
        <v>-1.142381130597081E-2</v>
      </c>
      <c r="AL161" s="3">
        <v>5.32</v>
      </c>
      <c r="AM161" s="7">
        <f t="shared" si="60"/>
        <v>3.7735849056603765E-3</v>
      </c>
      <c r="AN161" s="3">
        <v>0.46</v>
      </c>
      <c r="AO161" s="7">
        <f t="shared" si="61"/>
        <v>6.976744186046524E-2</v>
      </c>
      <c r="AP161" s="3">
        <v>7.74</v>
      </c>
      <c r="AQ161" s="7">
        <f t="shared" si="62"/>
        <v>-7.692307692307665E-3</v>
      </c>
    </row>
    <row r="162" spans="1:43" x14ac:dyDescent="0.3">
      <c r="A162" s="4">
        <v>42464</v>
      </c>
      <c r="B162" s="3">
        <v>17737</v>
      </c>
      <c r="C162" s="7">
        <f t="shared" si="42"/>
        <v>-3.1332986750221004E-3</v>
      </c>
      <c r="D162" s="3">
        <v>109.291332</v>
      </c>
      <c r="E162" s="7">
        <f t="shared" si="43"/>
        <v>1.0273708551262306E-2</v>
      </c>
      <c r="F162" s="3">
        <v>94.5</v>
      </c>
      <c r="G162" s="7">
        <f t="shared" si="44"/>
        <v>-6.9357290064847588E-3</v>
      </c>
      <c r="H162" s="3">
        <v>54.704040999999997</v>
      </c>
      <c r="I162" s="7">
        <f t="shared" si="45"/>
        <v>-2.5193369770841745E-3</v>
      </c>
      <c r="J162" s="3">
        <v>40.610199000000001</v>
      </c>
      <c r="K162" s="7">
        <f t="shared" si="46"/>
        <v>-2.1865790894958215E-3</v>
      </c>
      <c r="L162" s="3">
        <v>78.209423999999999</v>
      </c>
      <c r="M162" s="7">
        <f t="shared" si="47"/>
        <v>-2.3830732307494884E-3</v>
      </c>
      <c r="N162" s="3">
        <v>13.401954</v>
      </c>
      <c r="O162" s="7">
        <f t="shared" si="48"/>
        <v>-3.6873063141997786E-3</v>
      </c>
      <c r="P162" s="3">
        <v>41.725791999999998</v>
      </c>
      <c r="Q162" s="7">
        <f t="shared" si="49"/>
        <v>-9.6538698574361037E-3</v>
      </c>
      <c r="R162" s="3">
        <v>6.9246990000000004</v>
      </c>
      <c r="S162" s="7">
        <f t="shared" si="50"/>
        <v>-1.2569784405738638E-2</v>
      </c>
      <c r="T162" s="3">
        <v>58.318765999999997</v>
      </c>
      <c r="U162" s="7">
        <f t="shared" si="51"/>
        <v>-3.8701114109110923E-3</v>
      </c>
      <c r="V162" s="3">
        <v>47.353437999999997</v>
      </c>
      <c r="W162" s="7">
        <f t="shared" si="52"/>
        <v>1.0319710626156553E-3</v>
      </c>
      <c r="X162" s="3">
        <v>156.36203</v>
      </c>
      <c r="Y162" s="7">
        <f t="shared" si="53"/>
        <v>-3.28596466119635E-3</v>
      </c>
      <c r="Z162" s="3">
        <v>133.47085200000001</v>
      </c>
      <c r="AA162" s="7">
        <f t="shared" si="54"/>
        <v>0</v>
      </c>
      <c r="AB162" s="3">
        <v>10.54</v>
      </c>
      <c r="AC162" s="7">
        <f t="shared" si="55"/>
        <v>-8.4666039510820079E-3</v>
      </c>
      <c r="AD162" s="3">
        <v>80.348354999999998</v>
      </c>
      <c r="AE162" s="7">
        <f t="shared" si="56"/>
        <v>-5.5582326203725829E-3</v>
      </c>
      <c r="AF162" s="3">
        <v>68.131347000000005</v>
      </c>
      <c r="AG162" s="7">
        <f t="shared" si="57"/>
        <v>5.7923183997821148E-4</v>
      </c>
      <c r="AH162" s="3">
        <v>17.677880999999999</v>
      </c>
      <c r="AI162" s="7">
        <f t="shared" si="58"/>
        <v>3.9347259713380378E-3</v>
      </c>
      <c r="AJ162" s="3">
        <v>81.051934000000003</v>
      </c>
      <c r="AK162" s="7">
        <f t="shared" si="59"/>
        <v>2.4108487824183733E-3</v>
      </c>
      <c r="AL162" s="3">
        <v>5.3</v>
      </c>
      <c r="AM162" s="7">
        <f t="shared" si="60"/>
        <v>-9.7103918228279462E-2</v>
      </c>
      <c r="AN162" s="3">
        <v>0.43</v>
      </c>
      <c r="AO162" s="7">
        <f t="shared" si="61"/>
        <v>-0.14000000000000001</v>
      </c>
      <c r="AP162" s="3">
        <v>7.8</v>
      </c>
      <c r="AQ162" s="7">
        <f t="shared" si="62"/>
        <v>-2.5575447570332921E-3</v>
      </c>
    </row>
    <row r="163" spans="1:43" x14ac:dyDescent="0.3">
      <c r="A163" s="4">
        <v>42461</v>
      </c>
      <c r="B163" s="3">
        <v>17792.75</v>
      </c>
      <c r="C163" s="7">
        <f t="shared" si="42"/>
        <v>6.0876227912705083E-3</v>
      </c>
      <c r="D163" s="3">
        <v>108.179923</v>
      </c>
      <c r="E163" s="7">
        <f t="shared" si="43"/>
        <v>9.1751512504432142E-3</v>
      </c>
      <c r="F163" s="3">
        <v>95.160004000000001</v>
      </c>
      <c r="G163" s="7">
        <f t="shared" si="44"/>
        <v>1.4498944099180955E-2</v>
      </c>
      <c r="H163" s="3">
        <v>54.842207000000002</v>
      </c>
      <c r="I163" s="7">
        <f t="shared" si="45"/>
        <v>6.1560918639318452E-3</v>
      </c>
      <c r="J163" s="3">
        <v>40.699190999999999</v>
      </c>
      <c r="K163" s="7">
        <f t="shared" si="46"/>
        <v>6.1109725380630309E-3</v>
      </c>
      <c r="L163" s="3">
        <v>78.396248</v>
      </c>
      <c r="M163" s="7">
        <f t="shared" si="47"/>
        <v>-8.5798871193948356E-3</v>
      </c>
      <c r="N163" s="3">
        <v>13.451554</v>
      </c>
      <c r="O163" s="7">
        <f t="shared" si="48"/>
        <v>2.9585723814584686E-3</v>
      </c>
      <c r="P163" s="3">
        <v>42.132534</v>
      </c>
      <c r="Q163" s="7">
        <f t="shared" si="49"/>
        <v>1.7245536231440317E-2</v>
      </c>
      <c r="R163" s="3">
        <v>7.0128490000000001</v>
      </c>
      <c r="S163" s="7">
        <f t="shared" si="50"/>
        <v>0</v>
      </c>
      <c r="T163" s="3">
        <v>58.545343000000003</v>
      </c>
      <c r="U163" s="7">
        <f t="shared" si="51"/>
        <v>1.0975979907486222E-2</v>
      </c>
      <c r="V163" s="3">
        <v>47.304620999999997</v>
      </c>
      <c r="W163" s="7">
        <f t="shared" si="52"/>
        <v>1.8610557423395235E-3</v>
      </c>
      <c r="X163" s="3">
        <v>156.87752399999999</v>
      </c>
      <c r="Y163" s="7">
        <f t="shared" si="53"/>
        <v>4.2517944546565101E-3</v>
      </c>
      <c r="Z163" s="3">
        <v>133.47085200000001</v>
      </c>
      <c r="AA163" s="7">
        <f t="shared" si="54"/>
        <v>1.0642389415041364E-2</v>
      </c>
      <c r="AB163" s="3">
        <v>10.63</v>
      </c>
      <c r="AC163" s="7">
        <f t="shared" si="55"/>
        <v>-3.8878842676311032E-2</v>
      </c>
      <c r="AD163" s="3">
        <v>80.797445999999994</v>
      </c>
      <c r="AE163" s="7">
        <f t="shared" si="56"/>
        <v>5.8337838254201024E-3</v>
      </c>
      <c r="AF163" s="3">
        <v>68.091905999999994</v>
      </c>
      <c r="AG163" s="7">
        <f t="shared" si="57"/>
        <v>8.3223731260835265E-3</v>
      </c>
      <c r="AH163" s="3">
        <v>17.608595999999999</v>
      </c>
      <c r="AI163" s="7">
        <f t="shared" si="58"/>
        <v>-5.9725086762095092E-2</v>
      </c>
      <c r="AJ163" s="3">
        <v>80.856999999999999</v>
      </c>
      <c r="AK163" s="7">
        <f t="shared" si="59"/>
        <v>-7.5367529121733723E-3</v>
      </c>
      <c r="AL163" s="3">
        <v>5.87</v>
      </c>
      <c r="AM163" s="7">
        <f t="shared" si="60"/>
        <v>5.1369863013699391E-3</v>
      </c>
      <c r="AN163" s="3">
        <v>0.5</v>
      </c>
      <c r="AO163" s="7">
        <f t="shared" si="61"/>
        <v>-7.4074074074074181E-2</v>
      </c>
      <c r="AP163" s="3">
        <v>7.82</v>
      </c>
      <c r="AQ163" s="7">
        <f t="shared" si="62"/>
        <v>-2.0050125313283207E-2</v>
      </c>
    </row>
    <row r="164" spans="1:43" x14ac:dyDescent="0.3">
      <c r="A164" s="4">
        <v>42460</v>
      </c>
      <c r="B164" s="3">
        <v>17685.089843999998</v>
      </c>
      <c r="C164" s="7">
        <f t="shared" si="42"/>
        <v>-1.7819561769554237E-3</v>
      </c>
      <c r="D164" s="3">
        <v>107.19638</v>
      </c>
      <c r="E164" s="7">
        <f t="shared" si="43"/>
        <v>-5.2026226157243505E-3</v>
      </c>
      <c r="F164" s="3">
        <v>93.800003000000004</v>
      </c>
      <c r="G164" s="7">
        <f t="shared" si="44"/>
        <v>2.1330774379735296E-4</v>
      </c>
      <c r="H164" s="3">
        <v>54.506658999999999</v>
      </c>
      <c r="I164" s="7">
        <f t="shared" si="45"/>
        <v>3.2697444166898126E-3</v>
      </c>
      <c r="J164" s="3">
        <v>40.451990000000002</v>
      </c>
      <c r="K164" s="7">
        <f t="shared" si="46"/>
        <v>-1.4645289267295469E-3</v>
      </c>
      <c r="L164" s="3">
        <v>79.074700000000007</v>
      </c>
      <c r="M164" s="7">
        <f t="shared" si="47"/>
        <v>-3.3461982721794126E-3</v>
      </c>
      <c r="N164" s="3">
        <v>13.411873999999999</v>
      </c>
      <c r="O164" s="7">
        <f t="shared" si="48"/>
        <v>2.9674265096233388E-3</v>
      </c>
      <c r="P164" s="3">
        <v>41.418253999999997</v>
      </c>
      <c r="Q164" s="7">
        <f t="shared" si="49"/>
        <v>-3.1041305240576689E-3</v>
      </c>
      <c r="R164" s="3">
        <v>7.0128490000000001</v>
      </c>
      <c r="S164" s="7">
        <f t="shared" si="50"/>
        <v>8.4505750075172248E-3</v>
      </c>
      <c r="T164" s="3">
        <v>57.909726999999997</v>
      </c>
      <c r="U164" s="7">
        <f t="shared" si="51"/>
        <v>-8.2062881730414761E-3</v>
      </c>
      <c r="V164" s="3">
        <v>47.216748000000003</v>
      </c>
      <c r="W164" s="7">
        <f t="shared" si="52"/>
        <v>-5.9609607962695099E-3</v>
      </c>
      <c r="X164" s="3">
        <v>156.213337</v>
      </c>
      <c r="Y164" s="7">
        <f t="shared" si="53"/>
        <v>-1.2693207373237758E-4</v>
      </c>
      <c r="Z164" s="3">
        <v>132.065361</v>
      </c>
      <c r="AA164" s="7">
        <f t="shared" si="54"/>
        <v>7.4907916157718191E-5</v>
      </c>
      <c r="AB164" s="3">
        <v>11.06</v>
      </c>
      <c r="AC164" s="7">
        <f t="shared" si="55"/>
        <v>-1.4260249554367221E-2</v>
      </c>
      <c r="AD164" s="3">
        <v>80.328824999999995</v>
      </c>
      <c r="AE164" s="7">
        <f t="shared" si="56"/>
        <v>-1.5789476972978056E-2</v>
      </c>
      <c r="AF164" s="3">
        <v>67.529897000000005</v>
      </c>
      <c r="AG164" s="7">
        <f t="shared" si="57"/>
        <v>-4.5058818416700008E-3</v>
      </c>
      <c r="AH164" s="3">
        <v>18.727072</v>
      </c>
      <c r="AI164" s="7">
        <f t="shared" si="58"/>
        <v>-2.6356796646628267E-3</v>
      </c>
      <c r="AJ164" s="3">
        <v>81.471027000000007</v>
      </c>
      <c r="AK164" s="7">
        <f t="shared" si="59"/>
        <v>-1.100331435354418E-2</v>
      </c>
      <c r="AL164" s="3">
        <v>5.84</v>
      </c>
      <c r="AM164" s="7">
        <f t="shared" si="60"/>
        <v>-3.4129692832765013E-3</v>
      </c>
      <c r="AN164" s="3">
        <v>0.54</v>
      </c>
      <c r="AO164" s="7">
        <f t="shared" si="61"/>
        <v>0</v>
      </c>
      <c r="AP164" s="3">
        <v>7.98</v>
      </c>
      <c r="AQ164" s="7">
        <f t="shared" si="62"/>
        <v>4.1775456919060039E-2</v>
      </c>
    </row>
    <row r="165" spans="1:43" x14ac:dyDescent="0.3">
      <c r="A165" s="4">
        <v>42459</v>
      </c>
      <c r="B165" s="3">
        <v>17716.660156000002</v>
      </c>
      <c r="C165" s="7">
        <f t="shared" si="42"/>
        <v>4.7382897266241564E-3</v>
      </c>
      <c r="D165" s="3">
        <v>107.75699899999999</v>
      </c>
      <c r="E165" s="7">
        <f t="shared" si="43"/>
        <v>1.7459115907645817E-2</v>
      </c>
      <c r="F165" s="3">
        <v>93.779999000000004</v>
      </c>
      <c r="G165" s="7">
        <f t="shared" si="44"/>
        <v>6.0072730529150409E-3</v>
      </c>
      <c r="H165" s="3">
        <v>54.329017</v>
      </c>
      <c r="I165" s="7">
        <f t="shared" si="45"/>
        <v>6.2146034736163536E-3</v>
      </c>
      <c r="J165" s="3">
        <v>40.511319999999998</v>
      </c>
      <c r="K165" s="7">
        <f t="shared" si="46"/>
        <v>6.6339263293209161E-3</v>
      </c>
      <c r="L165" s="3">
        <v>79.340187999999998</v>
      </c>
      <c r="M165" s="7">
        <f t="shared" si="47"/>
        <v>6.1098009635729422E-3</v>
      </c>
      <c r="N165" s="3">
        <v>13.372192999999999</v>
      </c>
      <c r="O165" s="7">
        <f t="shared" si="48"/>
        <v>4.4709278144214881E-3</v>
      </c>
      <c r="P165" s="3">
        <v>41.547221999999998</v>
      </c>
      <c r="Q165" s="7">
        <f t="shared" si="49"/>
        <v>3.8350997703637812E-3</v>
      </c>
      <c r="R165" s="3">
        <v>6.9540829999999998</v>
      </c>
      <c r="S165" s="7">
        <f t="shared" si="50"/>
        <v>3.8011763992915171E-2</v>
      </c>
      <c r="T165" s="3">
        <v>58.388883</v>
      </c>
      <c r="U165" s="7">
        <f t="shared" si="51"/>
        <v>1.1519572957682245E-2</v>
      </c>
      <c r="V165" s="3">
        <v>47.499893</v>
      </c>
      <c r="W165" s="7">
        <f t="shared" si="52"/>
        <v>1.248704146889823E-2</v>
      </c>
      <c r="X165" s="3">
        <v>156.23316800000001</v>
      </c>
      <c r="Y165" s="7">
        <f t="shared" si="53"/>
        <v>1.5071574316604552E-2</v>
      </c>
      <c r="Z165" s="3">
        <v>132.05546899999999</v>
      </c>
      <c r="AA165" s="7">
        <f t="shared" si="54"/>
        <v>7.1714117513219655E-3</v>
      </c>
      <c r="AB165" s="3">
        <v>11.22</v>
      </c>
      <c r="AC165" s="7">
        <f t="shared" si="55"/>
        <v>-1.8372703412073421E-2</v>
      </c>
      <c r="AD165" s="3">
        <v>81.617523000000006</v>
      </c>
      <c r="AE165" s="7">
        <f t="shared" si="56"/>
        <v>7.5930775686887664E-3</v>
      </c>
      <c r="AF165" s="3">
        <v>67.835555999999997</v>
      </c>
      <c r="AG165" s="7">
        <f t="shared" si="57"/>
        <v>1.1318595082683736E-2</v>
      </c>
      <c r="AH165" s="3">
        <v>18.776561000000001</v>
      </c>
      <c r="AI165" s="7">
        <f t="shared" si="58"/>
        <v>5.3303673870216173E-2</v>
      </c>
      <c r="AJ165" s="3">
        <v>82.377452000000005</v>
      </c>
      <c r="AK165" s="7">
        <f t="shared" si="59"/>
        <v>-1.1833148695028495E-4</v>
      </c>
      <c r="AL165" s="3">
        <v>5.86</v>
      </c>
      <c r="AM165" s="7">
        <f t="shared" si="60"/>
        <v>5.145797598627766E-3</v>
      </c>
      <c r="AN165" s="3">
        <v>0.54</v>
      </c>
      <c r="AO165" s="7">
        <f t="shared" si="61"/>
        <v>0</v>
      </c>
      <c r="AP165" s="3">
        <v>7.66</v>
      </c>
      <c r="AQ165" s="7">
        <f t="shared" si="62"/>
        <v>2.6809651474530849E-2</v>
      </c>
    </row>
    <row r="166" spans="1:43" x14ac:dyDescent="0.3">
      <c r="A166" s="4">
        <v>42458</v>
      </c>
      <c r="B166" s="3">
        <v>17633.109375</v>
      </c>
      <c r="C166" s="7">
        <f t="shared" si="42"/>
        <v>5.572658863993718E-3</v>
      </c>
      <c r="D166" s="3">
        <v>105.90794</v>
      </c>
      <c r="E166" s="7">
        <f t="shared" si="43"/>
        <v>2.3671424368241878E-2</v>
      </c>
      <c r="F166" s="3">
        <v>93.220000999999996</v>
      </c>
      <c r="G166" s="7">
        <f t="shared" si="44"/>
        <v>8.8744478598603571E-3</v>
      </c>
      <c r="H166" s="3">
        <v>53.993468999999997</v>
      </c>
      <c r="I166" s="7">
        <f t="shared" si="45"/>
        <v>2.1852769352518342E-2</v>
      </c>
      <c r="J166" s="3">
        <v>40.244342000000003</v>
      </c>
      <c r="K166" s="7">
        <f t="shared" si="46"/>
        <v>1.9695141340636546E-3</v>
      </c>
      <c r="L166" s="3">
        <v>78.858378999999999</v>
      </c>
      <c r="M166" s="7">
        <f t="shared" si="47"/>
        <v>-3.7401180642648857E-4</v>
      </c>
      <c r="N166" s="3">
        <v>13.312673</v>
      </c>
      <c r="O166" s="7">
        <f t="shared" si="48"/>
        <v>-1.468432487306337E-2</v>
      </c>
      <c r="P166" s="3">
        <v>41.388492999999997</v>
      </c>
      <c r="Q166" s="7">
        <f t="shared" si="49"/>
        <v>-4.7709253449782496E-3</v>
      </c>
      <c r="R166" s="3">
        <v>6.6994259999999999</v>
      </c>
      <c r="S166" s="7">
        <f t="shared" si="50"/>
        <v>2.8571402251781786E-2</v>
      </c>
      <c r="T166" s="3">
        <v>57.723928000000001</v>
      </c>
      <c r="U166" s="7">
        <f t="shared" si="51"/>
        <v>-6.2289982891499118E-3</v>
      </c>
      <c r="V166" s="3">
        <v>46.914074999999997</v>
      </c>
      <c r="W166" s="7">
        <f t="shared" si="52"/>
        <v>-1.3347070544141526E-2</v>
      </c>
      <c r="X166" s="3">
        <v>153.91345000000001</v>
      </c>
      <c r="Y166" s="7">
        <f t="shared" si="53"/>
        <v>1.6964666446865673E-2</v>
      </c>
      <c r="Z166" s="3">
        <v>131.11518799999999</v>
      </c>
      <c r="AA166" s="7">
        <f t="shared" si="54"/>
        <v>1.0604210884150422E-2</v>
      </c>
      <c r="AB166" s="3">
        <v>11.43</v>
      </c>
      <c r="AC166" s="7">
        <f t="shared" si="55"/>
        <v>1.8716577540106805E-2</v>
      </c>
      <c r="AD166" s="3">
        <v>81.002465000000001</v>
      </c>
      <c r="AE166" s="7">
        <f t="shared" si="56"/>
        <v>2.053119619308541E-3</v>
      </c>
      <c r="AF166" s="3">
        <v>67.076346000000001</v>
      </c>
      <c r="AG166" s="7">
        <f t="shared" si="57"/>
        <v>-1.3212518980098009E-3</v>
      </c>
      <c r="AH166" s="3">
        <v>17.826350999999999</v>
      </c>
      <c r="AI166" s="7">
        <f t="shared" si="58"/>
        <v>2.1554220647584721E-2</v>
      </c>
      <c r="AJ166" s="3">
        <v>82.387201000000005</v>
      </c>
      <c r="AK166" s="7">
        <f t="shared" si="59"/>
        <v>3.6808159282479824E-3</v>
      </c>
      <c r="AL166" s="3">
        <v>5.83</v>
      </c>
      <c r="AM166" s="7">
        <f t="shared" si="60"/>
        <v>6.9084628670121884E-3</v>
      </c>
      <c r="AN166" s="3">
        <v>0.54</v>
      </c>
      <c r="AO166" s="7">
        <f t="shared" si="61"/>
        <v>-3.5714285714285698E-2</v>
      </c>
      <c r="AP166" s="3">
        <v>7.46</v>
      </c>
      <c r="AQ166" s="7">
        <f t="shared" si="62"/>
        <v>1.6348773841961872E-2</v>
      </c>
    </row>
    <row r="167" spans="1:43" x14ac:dyDescent="0.3">
      <c r="A167" s="4">
        <v>42457</v>
      </c>
      <c r="B167" s="3">
        <v>17535.390625</v>
      </c>
      <c r="C167" s="7">
        <f t="shared" si="42"/>
        <v>1.1224285527113853E-3</v>
      </c>
      <c r="D167" s="3">
        <v>103.45892000000001</v>
      </c>
      <c r="E167" s="7">
        <f t="shared" si="43"/>
        <v>-4.5423976226691698E-3</v>
      </c>
      <c r="F167" s="3">
        <v>92.400002000000001</v>
      </c>
      <c r="G167" s="7">
        <f t="shared" si="44"/>
        <v>-1.2969628609045269E-3</v>
      </c>
      <c r="H167" s="3">
        <v>52.838794999999998</v>
      </c>
      <c r="I167" s="7">
        <f t="shared" si="45"/>
        <v>-1.2359304252944403E-2</v>
      </c>
      <c r="J167" s="3">
        <v>40.165236</v>
      </c>
      <c r="K167" s="7">
        <f t="shared" si="46"/>
        <v>-8.5428961584069762E-3</v>
      </c>
      <c r="L167" s="3">
        <v>78.887884</v>
      </c>
      <c r="M167" s="7">
        <f t="shared" si="47"/>
        <v>9.9446304032237975E-3</v>
      </c>
      <c r="N167" s="3">
        <v>13.511074000000001</v>
      </c>
      <c r="O167" s="7">
        <f t="shared" si="48"/>
        <v>-4.385953923608632E-3</v>
      </c>
      <c r="P167" s="3">
        <v>41.586900999999997</v>
      </c>
      <c r="Q167" s="7">
        <f t="shared" si="49"/>
        <v>-4.7689385347959856E-4</v>
      </c>
      <c r="R167" s="3">
        <v>6.513331</v>
      </c>
      <c r="S167" s="7">
        <f t="shared" si="50"/>
        <v>-3.2023200539649799E-2</v>
      </c>
      <c r="T167" s="3">
        <v>58.085743999999998</v>
      </c>
      <c r="U167" s="7">
        <f t="shared" si="51"/>
        <v>-1.3449562901240997E-3</v>
      </c>
      <c r="V167" s="3">
        <v>47.548710999999997</v>
      </c>
      <c r="W167" s="7">
        <f t="shared" si="52"/>
        <v>-4.0899813490634651E-3</v>
      </c>
      <c r="X167" s="3">
        <v>151.34591699999999</v>
      </c>
      <c r="Y167" s="7">
        <f t="shared" si="53"/>
        <v>8.1886377625783879E-3</v>
      </c>
      <c r="Z167" s="3">
        <v>129.73940400000001</v>
      </c>
      <c r="AA167" s="7">
        <f t="shared" si="54"/>
        <v>4.7523751072113818E-3</v>
      </c>
      <c r="AB167" s="3">
        <v>11.22</v>
      </c>
      <c r="AC167" s="7">
        <f t="shared" si="55"/>
        <v>2.8414298808432603E-2</v>
      </c>
      <c r="AD167" s="3">
        <v>80.836498000000006</v>
      </c>
      <c r="AE167" s="7">
        <f t="shared" si="56"/>
        <v>9.263792445023622E-3</v>
      </c>
      <c r="AF167" s="3">
        <v>67.165087999999997</v>
      </c>
      <c r="AG167" s="7">
        <f t="shared" si="57"/>
        <v>1.7647383092351809E-3</v>
      </c>
      <c r="AH167" s="3">
        <v>17.450225</v>
      </c>
      <c r="AI167" s="7">
        <f t="shared" si="58"/>
        <v>1.3218351661897776E-2</v>
      </c>
      <c r="AJ167" s="3">
        <v>82.085060999999996</v>
      </c>
      <c r="AK167" s="7">
        <f t="shared" si="59"/>
        <v>2.8577974600649814E-3</v>
      </c>
      <c r="AL167" s="3">
        <v>5.79</v>
      </c>
      <c r="AM167" s="7">
        <f t="shared" si="60"/>
        <v>7.2222222222222188E-2</v>
      </c>
      <c r="AN167" s="3">
        <v>0.56000000000000005</v>
      </c>
      <c r="AO167" s="7">
        <f t="shared" si="61"/>
        <v>-5.0847457627118509E-2</v>
      </c>
      <c r="AP167" s="3">
        <v>7.34</v>
      </c>
      <c r="AQ167" s="7">
        <f t="shared" si="62"/>
        <v>-2.6525198938992078E-2</v>
      </c>
    </row>
    <row r="168" spans="1:43" x14ac:dyDescent="0.3">
      <c r="A168" s="4">
        <v>42453</v>
      </c>
      <c r="B168" s="3">
        <v>17515.730468999998</v>
      </c>
      <c r="C168" s="7">
        <f t="shared" si="42"/>
        <v>7.5078174813691945E-4</v>
      </c>
      <c r="D168" s="3">
        <v>103.931016</v>
      </c>
      <c r="E168" s="7">
        <f t="shared" si="43"/>
        <v>-4.3342984129332018E-3</v>
      </c>
      <c r="F168" s="3">
        <v>92.519997000000004</v>
      </c>
      <c r="G168" s="7">
        <f t="shared" si="44"/>
        <v>3.9061738756001052E-3</v>
      </c>
      <c r="H168" s="3">
        <v>53.500017999999997</v>
      </c>
      <c r="I168" s="7">
        <f t="shared" si="45"/>
        <v>4.4468819848344499E-3</v>
      </c>
      <c r="J168" s="3">
        <v>40.511319999999998</v>
      </c>
      <c r="K168" s="7">
        <f t="shared" si="46"/>
        <v>5.398798256266879E-3</v>
      </c>
      <c r="L168" s="3">
        <v>78.111097999999998</v>
      </c>
      <c r="M168" s="7">
        <f t="shared" si="47"/>
        <v>-6.2895136079199609E-4</v>
      </c>
      <c r="N168" s="3">
        <v>13.570594</v>
      </c>
      <c r="O168" s="7">
        <f t="shared" si="48"/>
        <v>4.4052752579106791E-3</v>
      </c>
      <c r="P168" s="3">
        <v>41.606743000000002</v>
      </c>
      <c r="Q168" s="7">
        <f t="shared" si="49"/>
        <v>-1.0148685355044207E-2</v>
      </c>
      <c r="R168" s="3">
        <v>6.728809</v>
      </c>
      <c r="S168" s="7">
        <f t="shared" si="50"/>
        <v>-1.4535651597867849E-3</v>
      </c>
      <c r="T168" s="3">
        <v>58.163972000000001</v>
      </c>
      <c r="U168" s="7">
        <f t="shared" si="51"/>
        <v>-7.674336863435216E-3</v>
      </c>
      <c r="V168" s="3">
        <v>47.743983</v>
      </c>
      <c r="W168" s="7">
        <f t="shared" si="52"/>
        <v>-1.7282892851461229E-2</v>
      </c>
      <c r="X168" s="3">
        <v>150.11666600000001</v>
      </c>
      <c r="Y168" s="7">
        <f t="shared" si="53"/>
        <v>-1.3549616178692325E-2</v>
      </c>
      <c r="Z168" s="3">
        <v>129.12575000000001</v>
      </c>
      <c r="AA168" s="7">
        <f t="shared" si="54"/>
        <v>1.8430779686822163E-3</v>
      </c>
      <c r="AB168" s="3">
        <v>10.91</v>
      </c>
      <c r="AC168" s="7">
        <f t="shared" si="55"/>
        <v>-4.5620437956205295E-3</v>
      </c>
      <c r="AD168" s="3">
        <v>80.094519000000005</v>
      </c>
      <c r="AE168" s="7">
        <f t="shared" si="56"/>
        <v>6.625785311389798E-3</v>
      </c>
      <c r="AF168" s="3">
        <v>67.046768</v>
      </c>
      <c r="AG168" s="7">
        <f t="shared" si="57"/>
        <v>8.0047554258866338E-3</v>
      </c>
      <c r="AH168" s="3">
        <v>17.222570999999999</v>
      </c>
      <c r="AI168" s="7">
        <f t="shared" si="58"/>
        <v>4.6189239034268859E-3</v>
      </c>
      <c r="AJ168" s="3">
        <v>81.851146999999997</v>
      </c>
      <c r="AK168" s="7">
        <f t="shared" si="59"/>
        <v>2.7462980221917288E-3</v>
      </c>
      <c r="AL168" s="3">
        <v>5.4</v>
      </c>
      <c r="AM168" s="7">
        <f t="shared" si="60"/>
        <v>7.4626865671640896E-3</v>
      </c>
      <c r="AN168" s="3">
        <v>0.59</v>
      </c>
      <c r="AO168" s="7">
        <f t="shared" si="61"/>
        <v>-0.26250000000000007</v>
      </c>
      <c r="AP168" s="3">
        <v>7.54</v>
      </c>
      <c r="AQ168" s="7">
        <f t="shared" si="62"/>
        <v>5.0139275766016844E-2</v>
      </c>
    </row>
    <row r="169" spans="1:43" x14ac:dyDescent="0.3">
      <c r="A169" s="4">
        <v>42452</v>
      </c>
      <c r="B169" s="3">
        <v>17502.589843999998</v>
      </c>
      <c r="C169" s="7">
        <f t="shared" si="42"/>
        <v>-4.5488496039407522E-3</v>
      </c>
      <c r="D169" s="3">
        <v>104.38344499999999</v>
      </c>
      <c r="E169" s="7">
        <f t="shared" si="43"/>
        <v>-5.5285282327021124E-3</v>
      </c>
      <c r="F169" s="3">
        <v>92.160004000000001</v>
      </c>
      <c r="G169" s="7">
        <f t="shared" si="44"/>
        <v>-4.3214564460123395E-3</v>
      </c>
      <c r="H169" s="3">
        <v>53.263162999999999</v>
      </c>
      <c r="I169" s="7">
        <f t="shared" si="45"/>
        <v>-1.8494298136428888E-3</v>
      </c>
      <c r="J169" s="3">
        <v>40.293782</v>
      </c>
      <c r="K169" s="7">
        <f t="shared" si="46"/>
        <v>-1.52247748048292E-2</v>
      </c>
      <c r="L169" s="3">
        <v>78.160257000000001</v>
      </c>
      <c r="M169" s="7">
        <f t="shared" si="47"/>
        <v>-8.7983898980992237E-4</v>
      </c>
      <c r="N169" s="3">
        <v>13.511074000000001</v>
      </c>
      <c r="O169" s="7">
        <f t="shared" si="48"/>
        <v>-1.017439326169145E-2</v>
      </c>
      <c r="P169" s="3">
        <v>42.033326000000002</v>
      </c>
      <c r="Q169" s="7">
        <f t="shared" si="49"/>
        <v>-2.3282675620989512E-2</v>
      </c>
      <c r="R169" s="3">
        <v>6.7386039999999996</v>
      </c>
      <c r="S169" s="7">
        <f t="shared" si="50"/>
        <v>-4.341468149983152E-3</v>
      </c>
      <c r="T169" s="3">
        <v>58.613793999999999</v>
      </c>
      <c r="U169" s="7">
        <f t="shared" si="51"/>
        <v>-4.9801247417143868E-3</v>
      </c>
      <c r="V169" s="3">
        <v>48.583649000000001</v>
      </c>
      <c r="W169" s="7">
        <f t="shared" si="52"/>
        <v>-1.2110397257346195E-2</v>
      </c>
      <c r="X169" s="3">
        <v>152.178628</v>
      </c>
      <c r="Y169" s="7">
        <f t="shared" si="53"/>
        <v>8.4083246322155247E-3</v>
      </c>
      <c r="Z169" s="3">
        <v>128.88819899999999</v>
      </c>
      <c r="AA169" s="7">
        <f t="shared" si="54"/>
        <v>-2.8332572946642154E-3</v>
      </c>
      <c r="AB169" s="3">
        <v>10.96</v>
      </c>
      <c r="AC169" s="7">
        <f t="shared" si="55"/>
        <v>-2.6642984014209503E-2</v>
      </c>
      <c r="AD169" s="3">
        <v>79.567323000000002</v>
      </c>
      <c r="AE169" s="7">
        <f t="shared" si="56"/>
        <v>-2.4479399656306411E-3</v>
      </c>
      <c r="AF169" s="3">
        <v>66.514336999999998</v>
      </c>
      <c r="AG169" s="7">
        <f t="shared" si="57"/>
        <v>-6.0410116512761292E-3</v>
      </c>
      <c r="AH169" s="3">
        <v>17.143387000000001</v>
      </c>
      <c r="AI169" s="7">
        <f t="shared" si="58"/>
        <v>-7.6266656177485515E-2</v>
      </c>
      <c r="AJ169" s="3">
        <v>81.626975000000002</v>
      </c>
      <c r="AK169" s="7">
        <f t="shared" si="59"/>
        <v>-4.3985067107344955E-3</v>
      </c>
      <c r="AL169" s="3">
        <v>5.36</v>
      </c>
      <c r="AM169" s="7">
        <f t="shared" si="60"/>
        <v>-7.1057192374349931E-2</v>
      </c>
      <c r="AN169" s="3">
        <v>0.8</v>
      </c>
      <c r="AO169" s="7">
        <f t="shared" si="61"/>
        <v>-0.10112359550561789</v>
      </c>
      <c r="AP169" s="3">
        <v>7.18</v>
      </c>
      <c r="AQ169" s="7">
        <f t="shared" si="62"/>
        <v>-0.12009803921568629</v>
      </c>
    </row>
    <row r="170" spans="1:43" x14ac:dyDescent="0.3">
      <c r="A170" s="4">
        <v>42451</v>
      </c>
      <c r="B170" s="3">
        <v>17582.570312</v>
      </c>
      <c r="C170" s="7">
        <f t="shared" si="42"/>
        <v>-2.3433463259167064E-3</v>
      </c>
      <c r="D170" s="3">
        <v>104.96374</v>
      </c>
      <c r="E170" s="7">
        <f t="shared" si="43"/>
        <v>7.647983040168338E-3</v>
      </c>
      <c r="F170" s="3">
        <v>92.559997999999993</v>
      </c>
      <c r="G170" s="7">
        <f t="shared" si="44"/>
        <v>6.4862702702694897E-4</v>
      </c>
      <c r="H170" s="3">
        <v>53.361851999999999</v>
      </c>
      <c r="I170" s="7">
        <f t="shared" si="45"/>
        <v>3.8989850041772911E-3</v>
      </c>
      <c r="J170" s="3">
        <v>40.916730000000001</v>
      </c>
      <c r="K170" s="7">
        <f t="shared" si="46"/>
        <v>-5.5274924354988819E-3</v>
      </c>
      <c r="L170" s="3">
        <v>78.229085999999995</v>
      </c>
      <c r="M170" s="7">
        <f t="shared" si="47"/>
        <v>-7.5363956715412961E-4</v>
      </c>
      <c r="N170" s="3">
        <v>13.649953999999999</v>
      </c>
      <c r="O170" s="7">
        <f t="shared" si="48"/>
        <v>-5.7804049218770359E-3</v>
      </c>
      <c r="P170" s="3">
        <v>43.035302999999999</v>
      </c>
      <c r="Q170" s="7">
        <f t="shared" si="49"/>
        <v>-5.0458052554851474E-3</v>
      </c>
      <c r="R170" s="3">
        <v>6.7679869999999998</v>
      </c>
      <c r="S170" s="7">
        <f t="shared" si="50"/>
        <v>-1.2857238287794059E-2</v>
      </c>
      <c r="T170" s="3">
        <v>58.907159</v>
      </c>
      <c r="U170" s="7">
        <f t="shared" si="51"/>
        <v>-3.6387292109072433E-3</v>
      </c>
      <c r="V170" s="3">
        <v>49.179228999999999</v>
      </c>
      <c r="W170" s="7">
        <f t="shared" si="52"/>
        <v>-5.9206459167236991E-3</v>
      </c>
      <c r="X170" s="3">
        <v>150.90973</v>
      </c>
      <c r="Y170" s="7">
        <f t="shared" si="53"/>
        <v>-1.1108266728987126E-2</v>
      </c>
      <c r="Z170" s="3">
        <v>129.25441000000001</v>
      </c>
      <c r="AA170" s="7">
        <f t="shared" si="54"/>
        <v>-3.2058505262502202E-3</v>
      </c>
      <c r="AB170" s="3">
        <v>11.26</v>
      </c>
      <c r="AC170" s="7">
        <f t="shared" si="55"/>
        <v>-2.3417172593235058E-2</v>
      </c>
      <c r="AD170" s="3">
        <v>79.762576999999993</v>
      </c>
      <c r="AE170" s="7">
        <f t="shared" si="56"/>
        <v>-6.0827242422250016E-3</v>
      </c>
      <c r="AF170" s="3">
        <v>66.918593000000001</v>
      </c>
      <c r="AG170" s="7">
        <f t="shared" si="57"/>
        <v>-1.4712195482979862E-3</v>
      </c>
      <c r="AH170" s="3">
        <v>18.558805</v>
      </c>
      <c r="AI170" s="7">
        <f t="shared" si="58"/>
        <v>-2.8497378135051377E-2</v>
      </c>
      <c r="AJ170" s="3">
        <v>81.987598000000006</v>
      </c>
      <c r="AK170" s="7">
        <f t="shared" si="59"/>
        <v>5.9794278235116849E-3</v>
      </c>
      <c r="AL170" s="3">
        <v>5.77</v>
      </c>
      <c r="AM170" s="7">
        <f t="shared" si="60"/>
        <v>2.3049645390070816E-2</v>
      </c>
      <c r="AN170" s="3">
        <v>0.89</v>
      </c>
      <c r="AO170" s="7">
        <f t="shared" si="61"/>
        <v>-5.3191489361702038E-2</v>
      </c>
      <c r="AP170" s="3">
        <v>8.16</v>
      </c>
      <c r="AQ170" s="7">
        <f t="shared" si="62"/>
        <v>1.2406947890818865E-2</v>
      </c>
    </row>
    <row r="171" spans="1:43" x14ac:dyDescent="0.3">
      <c r="A171" s="4">
        <v>42450</v>
      </c>
      <c r="B171" s="3">
        <v>17623.869140999999</v>
      </c>
      <c r="C171" s="7">
        <f t="shared" si="42"/>
        <v>1.2253148192580277E-3</v>
      </c>
      <c r="D171" s="3">
        <v>104.167072</v>
      </c>
      <c r="E171" s="7">
        <f t="shared" si="43"/>
        <v>-9.4358728386811919E-5</v>
      </c>
      <c r="F171" s="3">
        <v>92.5</v>
      </c>
      <c r="G171" s="7">
        <f t="shared" si="44"/>
        <v>-9.8479770894450702E-3</v>
      </c>
      <c r="H171" s="3">
        <v>53.154603000000002</v>
      </c>
      <c r="I171" s="7">
        <f t="shared" si="45"/>
        <v>6.9171586368108606E-3</v>
      </c>
      <c r="J171" s="3">
        <v>41.144154</v>
      </c>
      <c r="K171" s="7">
        <f t="shared" si="46"/>
        <v>3.1340507463879508E-3</v>
      </c>
      <c r="L171" s="3">
        <v>78.288087000000004</v>
      </c>
      <c r="M171" s="7">
        <f t="shared" si="47"/>
        <v>-3.629098289535948E-3</v>
      </c>
      <c r="N171" s="3">
        <v>13.729315</v>
      </c>
      <c r="O171" s="7">
        <f t="shared" si="48"/>
        <v>3.6258798977815143E-3</v>
      </c>
      <c r="P171" s="3">
        <v>43.253551999999999</v>
      </c>
      <c r="Q171" s="7">
        <f t="shared" si="49"/>
        <v>1.3779913247735642E-3</v>
      </c>
      <c r="R171" s="3">
        <v>6.8561379999999996</v>
      </c>
      <c r="S171" s="7">
        <f t="shared" si="50"/>
        <v>7.1943312671278736E-3</v>
      </c>
      <c r="T171" s="3">
        <v>59.122289000000002</v>
      </c>
      <c r="U171" s="7">
        <f t="shared" si="51"/>
        <v>-3.3069646945582676E-4</v>
      </c>
      <c r="V171" s="3">
        <v>49.472135999999999</v>
      </c>
      <c r="W171" s="7">
        <f t="shared" si="52"/>
        <v>2.5721644482954442E-3</v>
      </c>
      <c r="X171" s="3">
        <v>152.604906</v>
      </c>
      <c r="Y171" s="7">
        <f t="shared" si="53"/>
        <v>5.1583913372095225E-3</v>
      </c>
      <c r="Z171" s="3">
        <v>129.67011299999999</v>
      </c>
      <c r="AA171" s="7">
        <f t="shared" si="54"/>
        <v>-2.5885907202882752E-3</v>
      </c>
      <c r="AB171" s="3">
        <v>11.53</v>
      </c>
      <c r="AC171" s="7">
        <f t="shared" si="55"/>
        <v>-3.4572169403630504E-3</v>
      </c>
      <c r="AD171" s="3">
        <v>80.250720000000001</v>
      </c>
      <c r="AE171" s="7">
        <f t="shared" si="56"/>
        <v>-6.1661481109003269E-3</v>
      </c>
      <c r="AF171" s="3">
        <v>67.017189999999999</v>
      </c>
      <c r="AG171" s="7">
        <f t="shared" si="57"/>
        <v>1.5235318751507076E-2</v>
      </c>
      <c r="AH171" s="3">
        <v>19.103196000000001</v>
      </c>
      <c r="AI171" s="7">
        <f t="shared" si="58"/>
        <v>-3.015076652486226E-2</v>
      </c>
      <c r="AJ171" s="3">
        <v>81.500273000000007</v>
      </c>
      <c r="AK171" s="7">
        <f t="shared" si="59"/>
        <v>-6.888285078988643E-3</v>
      </c>
      <c r="AL171" s="3">
        <v>5.64</v>
      </c>
      <c r="AM171" s="7">
        <f t="shared" si="60"/>
        <v>1.2567324955116588E-2</v>
      </c>
      <c r="AN171" s="3">
        <v>0.94</v>
      </c>
      <c r="AO171" s="7">
        <f t="shared" si="61"/>
        <v>-6.0000000000000053E-2</v>
      </c>
      <c r="AP171" s="3">
        <v>8.06</v>
      </c>
      <c r="AQ171" s="7">
        <f t="shared" si="62"/>
        <v>-3.3573141486810454E-2</v>
      </c>
    </row>
    <row r="172" spans="1:43" x14ac:dyDescent="0.3">
      <c r="A172" s="4">
        <v>42447</v>
      </c>
      <c r="B172" s="3">
        <v>17602.300781000002</v>
      </c>
      <c r="C172" s="7">
        <f t="shared" si="42"/>
        <v>6.9107693556373917E-3</v>
      </c>
      <c r="D172" s="3">
        <v>104.176902</v>
      </c>
      <c r="E172" s="7">
        <f t="shared" si="43"/>
        <v>1.1341655583039234E-3</v>
      </c>
      <c r="F172" s="3">
        <v>93.419998000000007</v>
      </c>
      <c r="G172" s="7">
        <f t="shared" si="44"/>
        <v>3.846152777302736E-2</v>
      </c>
      <c r="H172" s="3">
        <v>52.789450000000002</v>
      </c>
      <c r="I172" s="7">
        <f t="shared" si="45"/>
        <v>-2.1405018618802285E-2</v>
      </c>
      <c r="J172" s="3">
        <v>41.015608999999998</v>
      </c>
      <c r="K172" s="7">
        <f t="shared" si="46"/>
        <v>2.1423272365948653E-2</v>
      </c>
      <c r="L172" s="3">
        <v>78.573237000000006</v>
      </c>
      <c r="M172" s="7">
        <f t="shared" si="47"/>
        <v>3.7563786279415368E-4</v>
      </c>
      <c r="N172" s="3">
        <v>13.679714000000001</v>
      </c>
      <c r="O172" s="7">
        <f t="shared" si="48"/>
        <v>2.9104480587396342E-2</v>
      </c>
      <c r="P172" s="3">
        <v>43.194031000000003</v>
      </c>
      <c r="Q172" s="7">
        <f t="shared" si="49"/>
        <v>1.6102725432369125E-2</v>
      </c>
      <c r="R172" s="3">
        <v>6.8071650000000004</v>
      </c>
      <c r="S172" s="7">
        <f t="shared" si="50"/>
        <v>2.8106484299365686E-2</v>
      </c>
      <c r="T172" s="3">
        <v>59.141846999999999</v>
      </c>
      <c r="U172" s="7">
        <f t="shared" si="51"/>
        <v>2.9446811985993193E-2</v>
      </c>
      <c r="V172" s="3">
        <v>49.345211999999997</v>
      </c>
      <c r="W172" s="7">
        <f t="shared" si="52"/>
        <v>1.6287970843400945E-2</v>
      </c>
      <c r="X172" s="3">
        <v>151.82175000000001</v>
      </c>
      <c r="Y172" s="7">
        <f t="shared" si="53"/>
        <v>-4.4851942911430243E-3</v>
      </c>
      <c r="Z172" s="3">
        <v>130.00664699999999</v>
      </c>
      <c r="AA172" s="7">
        <f t="shared" si="54"/>
        <v>3.5910821534477222E-3</v>
      </c>
      <c r="AB172" s="3">
        <v>11.57</v>
      </c>
      <c r="AC172" s="7">
        <f t="shared" si="55"/>
        <v>4.3402777777779011E-3</v>
      </c>
      <c r="AD172" s="3">
        <v>80.748627999999997</v>
      </c>
      <c r="AE172" s="7">
        <f t="shared" si="56"/>
        <v>-3.734018989830945E-3</v>
      </c>
      <c r="AF172" s="3">
        <v>66.011483999999996</v>
      </c>
      <c r="AG172" s="7">
        <f t="shared" si="57"/>
        <v>-7.4128996582560891E-3</v>
      </c>
      <c r="AH172" s="3">
        <v>19.697078000000001</v>
      </c>
      <c r="AI172" s="7">
        <f t="shared" si="58"/>
        <v>3.5299434837121613E-3</v>
      </c>
      <c r="AJ172" s="3">
        <v>82.065563999999995</v>
      </c>
      <c r="AK172" s="7">
        <f t="shared" si="59"/>
        <v>1.1890357201271851E-3</v>
      </c>
      <c r="AL172" s="3">
        <v>5.57</v>
      </c>
      <c r="AM172" s="7">
        <f t="shared" si="60"/>
        <v>-1.0657193605683735E-2</v>
      </c>
      <c r="AN172" s="3">
        <v>1</v>
      </c>
      <c r="AO172" s="7">
        <f t="shared" si="61"/>
        <v>0</v>
      </c>
      <c r="AP172" s="3">
        <v>8.34</v>
      </c>
      <c r="AQ172" s="7">
        <f t="shared" si="62"/>
        <v>-8.3516483516483442E-2</v>
      </c>
    </row>
    <row r="173" spans="1:43" x14ac:dyDescent="0.3">
      <c r="A173" s="4">
        <v>42446</v>
      </c>
      <c r="B173" s="3">
        <v>17481.490234000001</v>
      </c>
      <c r="C173" s="7">
        <f t="shared" si="42"/>
        <v>8.9883774277885742E-3</v>
      </c>
      <c r="D173" s="3">
        <v>104.058882</v>
      </c>
      <c r="E173" s="7">
        <f t="shared" si="43"/>
        <v>-1.6042049820121917E-3</v>
      </c>
      <c r="F173" s="3">
        <v>89.959998999999996</v>
      </c>
      <c r="G173" s="7">
        <f t="shared" si="44"/>
        <v>2.0301701719444232E-2</v>
      </c>
      <c r="H173" s="3">
        <v>53.944125</v>
      </c>
      <c r="I173" s="7">
        <f t="shared" si="45"/>
        <v>5.7037911648909478E-3</v>
      </c>
      <c r="J173" s="3">
        <v>40.155349999999999</v>
      </c>
      <c r="K173" s="7">
        <f t="shared" si="46"/>
        <v>9.6966493374845975E-3</v>
      </c>
      <c r="L173" s="3">
        <v>78.543733000000003</v>
      </c>
      <c r="M173" s="7">
        <f t="shared" si="47"/>
        <v>-2.372954125042015E-3</v>
      </c>
      <c r="N173" s="3">
        <v>13.292833</v>
      </c>
      <c r="O173" s="7">
        <f t="shared" si="48"/>
        <v>6.7617400587749454E-3</v>
      </c>
      <c r="P173" s="3">
        <v>42.509512000000001</v>
      </c>
      <c r="Q173" s="7">
        <f t="shared" si="49"/>
        <v>1.4681495078618934E-2</v>
      </c>
      <c r="R173" s="3">
        <v>6.6210699999999996</v>
      </c>
      <c r="S173" s="7">
        <f t="shared" si="50"/>
        <v>1.0463320233516704E-2</v>
      </c>
      <c r="T173" s="3">
        <v>57.450124000000002</v>
      </c>
      <c r="U173" s="7">
        <f t="shared" si="51"/>
        <v>-2.8852394895261257E-3</v>
      </c>
      <c r="V173" s="3">
        <v>48.554360000000003</v>
      </c>
      <c r="W173" s="7">
        <f t="shared" si="52"/>
        <v>3.8352573711020188E-3</v>
      </c>
      <c r="X173" s="3">
        <v>152.50576799999999</v>
      </c>
      <c r="Y173" s="7">
        <f t="shared" si="53"/>
        <v>-1.4280217810890283E-3</v>
      </c>
      <c r="Z173" s="3">
        <v>129.54145299999999</v>
      </c>
      <c r="AA173" s="7">
        <f t="shared" si="54"/>
        <v>3.2963421847462815E-3</v>
      </c>
      <c r="AB173" s="3">
        <v>11.52</v>
      </c>
      <c r="AC173" s="7">
        <f t="shared" si="55"/>
        <v>2.5823686553873459E-2</v>
      </c>
      <c r="AD173" s="3">
        <v>81.051275000000004</v>
      </c>
      <c r="AE173" s="7">
        <f t="shared" si="56"/>
        <v>7.6465306666524402E-3</v>
      </c>
      <c r="AF173" s="3">
        <v>66.504474999999999</v>
      </c>
      <c r="AG173" s="7">
        <f t="shared" si="57"/>
        <v>-7.9423564088713094E-3</v>
      </c>
      <c r="AH173" s="3">
        <v>19.627793</v>
      </c>
      <c r="AI173" s="7">
        <f t="shared" si="58"/>
        <v>9.6792084014667878E-2</v>
      </c>
      <c r="AJ173" s="3">
        <v>81.968101000000004</v>
      </c>
      <c r="AK173" s="7">
        <f t="shared" si="59"/>
        <v>1.4842473843862836E-2</v>
      </c>
      <c r="AL173" s="3">
        <v>5.63</v>
      </c>
      <c r="AM173" s="7">
        <f t="shared" si="60"/>
        <v>9.7465886939571256E-2</v>
      </c>
      <c r="AN173" s="3">
        <v>1</v>
      </c>
      <c r="AO173" s="7">
        <f t="shared" si="61"/>
        <v>-9.9009900990099098E-3</v>
      </c>
      <c r="AP173" s="3">
        <v>9.1</v>
      </c>
      <c r="AQ173" s="7">
        <f t="shared" si="62"/>
        <v>4.8387096774193505E-2</v>
      </c>
    </row>
    <row r="174" spans="1:43" x14ac:dyDescent="0.3">
      <c r="A174" s="4">
        <v>42445</v>
      </c>
      <c r="B174" s="3">
        <v>17325.759765999999</v>
      </c>
      <c r="C174" s="7">
        <f t="shared" si="42"/>
        <v>4.3028341268798176E-3</v>
      </c>
      <c r="D174" s="3">
        <v>104.22608200000001</v>
      </c>
      <c r="E174" s="7">
        <f t="shared" si="43"/>
        <v>1.329124877971255E-2</v>
      </c>
      <c r="F174" s="3">
        <v>88.169998000000007</v>
      </c>
      <c r="G174" s="7">
        <f t="shared" si="44"/>
        <v>1.5432407798401382E-2</v>
      </c>
      <c r="H174" s="3">
        <v>53.638184000000003</v>
      </c>
      <c r="I174" s="7">
        <f t="shared" si="45"/>
        <v>1.4181724185833078E-2</v>
      </c>
      <c r="J174" s="3">
        <v>39.769717</v>
      </c>
      <c r="K174" s="7">
        <f t="shared" si="46"/>
        <v>3.8203416535865786E-2</v>
      </c>
      <c r="L174" s="3">
        <v>78.730557000000005</v>
      </c>
      <c r="M174" s="7">
        <f t="shared" si="47"/>
        <v>9.4553745348482376E-3</v>
      </c>
      <c r="N174" s="3">
        <v>13.203554</v>
      </c>
      <c r="O174" s="7">
        <f t="shared" si="48"/>
        <v>-1.9159790314180247E-2</v>
      </c>
      <c r="P174" s="3">
        <v>41.894438999999998</v>
      </c>
      <c r="Q174" s="7">
        <f t="shared" si="49"/>
        <v>-8.4527018505036189E-3</v>
      </c>
      <c r="R174" s="3">
        <v>6.5525089999999997</v>
      </c>
      <c r="S174" s="7">
        <f t="shared" si="50"/>
        <v>3.4003152896546096E-2</v>
      </c>
      <c r="T174" s="3">
        <v>57.616360999999998</v>
      </c>
      <c r="U174" s="7">
        <f t="shared" si="51"/>
        <v>-4.7297840847554395E-3</v>
      </c>
      <c r="V174" s="3">
        <v>48.368853000000001</v>
      </c>
      <c r="W174" s="7">
        <f t="shared" si="52"/>
        <v>-8.8034968323789098E-3</v>
      </c>
      <c r="X174" s="3">
        <v>152.723861</v>
      </c>
      <c r="Y174" s="7">
        <f t="shared" si="53"/>
        <v>-7.7827668902852309E-4</v>
      </c>
      <c r="Z174" s="3">
        <v>129.11584300000001</v>
      </c>
      <c r="AA174" s="7">
        <f t="shared" si="54"/>
        <v>5.7049578075973884E-3</v>
      </c>
      <c r="AB174" s="3">
        <v>11.23</v>
      </c>
      <c r="AC174" s="7">
        <f t="shared" si="55"/>
        <v>3.5746201966042612E-3</v>
      </c>
      <c r="AD174" s="3">
        <v>80.436216999999999</v>
      </c>
      <c r="AE174" s="7">
        <f t="shared" si="56"/>
        <v>9.0630391477668493E-3</v>
      </c>
      <c r="AF174" s="3">
        <v>67.036906000000002</v>
      </c>
      <c r="AG174" s="7">
        <f t="shared" si="57"/>
        <v>-1.468626815829488E-3</v>
      </c>
      <c r="AH174" s="3">
        <v>17.895637000000001</v>
      </c>
      <c r="AI174" s="7">
        <f t="shared" si="58"/>
        <v>3.8867180389301481E-3</v>
      </c>
      <c r="AJ174" s="3">
        <v>80.769284999999996</v>
      </c>
      <c r="AK174" s="7">
        <f t="shared" si="59"/>
        <v>6.0376199869494052E-4</v>
      </c>
      <c r="AL174" s="3">
        <v>5.13</v>
      </c>
      <c r="AM174" s="7">
        <f t="shared" si="60"/>
        <v>7.0981210855949772E-2</v>
      </c>
      <c r="AN174" s="3">
        <v>1.01</v>
      </c>
      <c r="AO174" s="7">
        <f t="shared" si="61"/>
        <v>0.12222222222222223</v>
      </c>
      <c r="AP174" s="3">
        <v>8.68</v>
      </c>
      <c r="AQ174" s="7">
        <f t="shared" si="62"/>
        <v>8.3645443196004976E-2</v>
      </c>
    </row>
    <row r="175" spans="1:43" x14ac:dyDescent="0.3">
      <c r="A175" s="4">
        <v>42444</v>
      </c>
      <c r="B175" s="3">
        <v>17251.529297000001</v>
      </c>
      <c r="C175" s="7">
        <f t="shared" si="42"/>
        <v>1.3000329606469574E-3</v>
      </c>
      <c r="D175" s="3">
        <v>102.858958</v>
      </c>
      <c r="E175" s="7">
        <f t="shared" si="43"/>
        <v>2.0093699024860578E-2</v>
      </c>
      <c r="F175" s="3">
        <v>86.830001999999993</v>
      </c>
      <c r="G175" s="7">
        <f t="shared" si="44"/>
        <v>-2.0687276848930791E-3</v>
      </c>
      <c r="H175" s="3">
        <v>52.888139000000002</v>
      </c>
      <c r="I175" s="7">
        <f t="shared" si="45"/>
        <v>7.8992236063373245E-3</v>
      </c>
      <c r="J175" s="3">
        <v>38.306286</v>
      </c>
      <c r="K175" s="7">
        <f t="shared" si="46"/>
        <v>1.0336131908621482E-3</v>
      </c>
      <c r="L175" s="3">
        <v>77.993103000000005</v>
      </c>
      <c r="M175" s="7">
        <f t="shared" si="47"/>
        <v>7.1101809984812636E-3</v>
      </c>
      <c r="N175" s="3">
        <v>13.461473</v>
      </c>
      <c r="O175" s="7">
        <f t="shared" si="48"/>
        <v>-5.1320258188027879E-3</v>
      </c>
      <c r="P175" s="3">
        <v>42.251579</v>
      </c>
      <c r="Q175" s="7">
        <f t="shared" si="49"/>
        <v>-1.8748224407574288E-3</v>
      </c>
      <c r="R175" s="3">
        <v>6.3370300000000004</v>
      </c>
      <c r="S175" s="7">
        <f t="shared" si="50"/>
        <v>-2.8528504359490281E-2</v>
      </c>
      <c r="T175" s="3">
        <v>57.890169</v>
      </c>
      <c r="U175" s="7">
        <f t="shared" si="51"/>
        <v>1.3532153402850966E-3</v>
      </c>
      <c r="V175" s="3">
        <v>48.798450000000003</v>
      </c>
      <c r="W175" s="7">
        <f t="shared" si="52"/>
        <v>2.0047919115933066E-3</v>
      </c>
      <c r="X175" s="3">
        <v>152.842815</v>
      </c>
      <c r="Y175" s="7">
        <f t="shared" si="53"/>
        <v>9.8905740549315446E-3</v>
      </c>
      <c r="Z175" s="3">
        <v>128.383421</v>
      </c>
      <c r="AA175" s="7">
        <f t="shared" si="54"/>
        <v>6.7526459762632385E-3</v>
      </c>
      <c r="AB175" s="3">
        <v>11.19</v>
      </c>
      <c r="AC175" s="7">
        <f t="shared" si="55"/>
        <v>-2.5261324041811917E-2</v>
      </c>
      <c r="AD175" s="3">
        <v>79.713768000000002</v>
      </c>
      <c r="AE175" s="7">
        <f t="shared" si="56"/>
        <v>-1.4674640402789763E-3</v>
      </c>
      <c r="AF175" s="3">
        <v>67.135503</v>
      </c>
      <c r="AG175" s="7">
        <f t="shared" si="57"/>
        <v>1.0837235269832046E-2</v>
      </c>
      <c r="AH175" s="3">
        <v>17.826350999999999</v>
      </c>
      <c r="AI175" s="7">
        <f t="shared" si="58"/>
        <v>-4.4055230275943269E-2</v>
      </c>
      <c r="AJ175" s="3">
        <v>80.720549000000005</v>
      </c>
      <c r="AK175" s="7">
        <f t="shared" si="59"/>
        <v>4.9750658442808682E-3</v>
      </c>
      <c r="AL175" s="3">
        <v>4.79</v>
      </c>
      <c r="AM175" s="7">
        <f t="shared" si="60"/>
        <v>-8.2375478927202983E-2</v>
      </c>
      <c r="AN175" s="3">
        <v>0.9</v>
      </c>
      <c r="AO175" s="7">
        <f t="shared" si="61"/>
        <v>-5.2631578947368363E-2</v>
      </c>
      <c r="AP175" s="3">
        <v>8.01</v>
      </c>
      <c r="AQ175" s="7">
        <f t="shared" si="62"/>
        <v>-5.7647058823529385E-2</v>
      </c>
    </row>
    <row r="176" spans="1:43" x14ac:dyDescent="0.3">
      <c r="A176" s="4">
        <v>42443</v>
      </c>
      <c r="B176" s="3">
        <v>17229.130859000001</v>
      </c>
      <c r="C176" s="7">
        <f t="shared" si="42"/>
        <v>9.1907433824567342E-4</v>
      </c>
      <c r="D176" s="3">
        <v>100.832853</v>
      </c>
      <c r="E176" s="7">
        <f t="shared" si="43"/>
        <v>2.542476402539906E-3</v>
      </c>
      <c r="F176" s="3">
        <v>87.010002</v>
      </c>
      <c r="G176" s="7">
        <f t="shared" si="44"/>
        <v>1.174420930232567E-2</v>
      </c>
      <c r="H176" s="3">
        <v>52.473638000000001</v>
      </c>
      <c r="I176" s="7">
        <f t="shared" si="45"/>
        <v>1.8842786844528447E-3</v>
      </c>
      <c r="J176" s="3">
        <v>38.266733000000002</v>
      </c>
      <c r="K176" s="7">
        <f t="shared" si="46"/>
        <v>-6.4184822043885648E-3</v>
      </c>
      <c r="L176" s="3">
        <v>77.442473000000007</v>
      </c>
      <c r="M176" s="7">
        <f t="shared" si="47"/>
        <v>1.3986029720081117E-3</v>
      </c>
      <c r="N176" s="3">
        <v>13.530913999999999</v>
      </c>
      <c r="O176" s="7">
        <f t="shared" si="48"/>
        <v>-1.0877420390514092E-2</v>
      </c>
      <c r="P176" s="3">
        <v>42.330942</v>
      </c>
      <c r="Q176" s="7">
        <f t="shared" si="49"/>
        <v>-7.4436784889694296E-3</v>
      </c>
      <c r="R176" s="3">
        <v>6.5231250000000003</v>
      </c>
      <c r="S176" s="7">
        <f t="shared" si="50"/>
        <v>1.5243772899160346E-2</v>
      </c>
      <c r="T176" s="3">
        <v>57.811937</v>
      </c>
      <c r="U176" s="7">
        <f t="shared" si="51"/>
        <v>-3.7074592944292828E-3</v>
      </c>
      <c r="V176" s="3">
        <v>48.700814999999999</v>
      </c>
      <c r="W176" s="7">
        <f t="shared" si="52"/>
        <v>-3.7946606005663241E-3</v>
      </c>
      <c r="X176" s="3">
        <v>151.34591699999999</v>
      </c>
      <c r="Y176" s="7">
        <f t="shared" si="53"/>
        <v>-2.6198664710330721E-4</v>
      </c>
      <c r="Z176" s="3">
        <v>127.522308</v>
      </c>
      <c r="AA176" s="7">
        <f t="shared" si="54"/>
        <v>2.9580355937481873E-3</v>
      </c>
      <c r="AB176" s="3">
        <v>11.48</v>
      </c>
      <c r="AC176" s="7">
        <f t="shared" si="55"/>
        <v>2.3172905525846721E-2</v>
      </c>
      <c r="AD176" s="3">
        <v>79.830916999999999</v>
      </c>
      <c r="AE176" s="7">
        <f t="shared" si="56"/>
        <v>-1.2215284470560306E-3</v>
      </c>
      <c r="AF176" s="3">
        <v>66.41574</v>
      </c>
      <c r="AG176" s="7">
        <f t="shared" si="57"/>
        <v>2.828680704521247E-3</v>
      </c>
      <c r="AH176" s="3">
        <v>18.647887999999998</v>
      </c>
      <c r="AI176" s="7">
        <f t="shared" si="58"/>
        <v>-3.6809759229401884E-2</v>
      </c>
      <c r="AJ176" s="3">
        <v>80.320947000000004</v>
      </c>
      <c r="AK176" s="7">
        <f t="shared" si="59"/>
        <v>2.6767483426630712E-3</v>
      </c>
      <c r="AL176" s="3">
        <v>5.22</v>
      </c>
      <c r="AM176" s="7">
        <f t="shared" si="60"/>
        <v>-5.6057866184448524E-2</v>
      </c>
      <c r="AN176" s="3">
        <v>0.95</v>
      </c>
      <c r="AO176" s="7">
        <f t="shared" si="61"/>
        <v>-4.0404040404040442E-2</v>
      </c>
      <c r="AP176" s="3">
        <v>8.5</v>
      </c>
      <c r="AQ176" s="7">
        <f t="shared" si="62"/>
        <v>5.9171597633136397E-3</v>
      </c>
    </row>
    <row r="177" spans="1:43" x14ac:dyDescent="0.3">
      <c r="A177" s="4">
        <v>42440</v>
      </c>
      <c r="B177" s="3">
        <v>17213.310547000001</v>
      </c>
      <c r="C177" s="7">
        <f t="shared" si="42"/>
        <v>1.2837776290758107E-2</v>
      </c>
      <c r="D177" s="3">
        <v>100.57713800000001</v>
      </c>
      <c r="E177" s="7">
        <f t="shared" si="43"/>
        <v>1.0773983460863334E-2</v>
      </c>
      <c r="F177" s="3">
        <v>86</v>
      </c>
      <c r="G177" s="7">
        <f t="shared" si="44"/>
        <v>1.3553353295305826E-2</v>
      </c>
      <c r="H177" s="3">
        <v>52.374949000000001</v>
      </c>
      <c r="I177" s="7">
        <f t="shared" si="45"/>
        <v>1.9596557854242747E-2</v>
      </c>
      <c r="J177" s="3">
        <v>38.513933999999999</v>
      </c>
      <c r="K177" s="7">
        <f t="shared" si="46"/>
        <v>2.3653114690675325E-2</v>
      </c>
      <c r="L177" s="3">
        <v>77.334312999999995</v>
      </c>
      <c r="M177" s="7">
        <f t="shared" si="47"/>
        <v>2.3289107867631387E-2</v>
      </c>
      <c r="N177" s="3">
        <v>13.679714000000001</v>
      </c>
      <c r="O177" s="7">
        <f t="shared" si="48"/>
        <v>3.9186111868444895E-2</v>
      </c>
      <c r="P177" s="3">
        <v>42.648403000000002</v>
      </c>
      <c r="Q177" s="7">
        <f t="shared" si="49"/>
        <v>3.9158898388919283E-2</v>
      </c>
      <c r="R177" s="3">
        <v>6.4251810000000003</v>
      </c>
      <c r="S177" s="7">
        <f t="shared" si="50"/>
        <v>4.6251991283053018E-2</v>
      </c>
      <c r="T177" s="3">
        <v>58.027070000000002</v>
      </c>
      <c r="U177" s="7">
        <f t="shared" si="51"/>
        <v>1.2455188569660436E-2</v>
      </c>
      <c r="V177" s="3">
        <v>48.886322</v>
      </c>
      <c r="W177" s="7">
        <f t="shared" si="52"/>
        <v>3.2158342341733759E-2</v>
      </c>
      <c r="X177" s="3">
        <v>151.38557800000001</v>
      </c>
      <c r="Y177" s="7">
        <f t="shared" si="53"/>
        <v>-1.0465660974019464E-3</v>
      </c>
      <c r="Z177" s="3">
        <v>127.14620499999999</v>
      </c>
      <c r="AA177" s="7">
        <f t="shared" si="54"/>
        <v>2.0414705703855951E-2</v>
      </c>
      <c r="AB177" s="3">
        <v>11.22</v>
      </c>
      <c r="AC177" s="7">
        <f t="shared" si="55"/>
        <v>-2.8571428571428581E-2</v>
      </c>
      <c r="AD177" s="3">
        <v>79.928551999999996</v>
      </c>
      <c r="AE177" s="7">
        <f t="shared" si="56"/>
        <v>4.5399164679700288E-3</v>
      </c>
      <c r="AF177" s="3">
        <v>66.228401000000005</v>
      </c>
      <c r="AG177" s="7">
        <f t="shared" si="57"/>
        <v>-3.5603829152773825E-3</v>
      </c>
      <c r="AH177" s="3">
        <v>19.360544999999998</v>
      </c>
      <c r="AI177" s="7">
        <f t="shared" si="58"/>
        <v>6.3621509513321017E-2</v>
      </c>
      <c r="AJ177" s="3">
        <v>80.106521999999998</v>
      </c>
      <c r="AK177" s="7">
        <f t="shared" si="59"/>
        <v>1.2170277919065775E-4</v>
      </c>
      <c r="AL177" s="3">
        <v>5.53</v>
      </c>
      <c r="AM177" s="7">
        <f t="shared" si="60"/>
        <v>3.3644859813084294E-2</v>
      </c>
      <c r="AN177" s="3">
        <v>0.99</v>
      </c>
      <c r="AO177" s="7">
        <f t="shared" si="61"/>
        <v>0.13793103448275867</v>
      </c>
      <c r="AP177" s="3">
        <v>8.4499999999999993</v>
      </c>
      <c r="AQ177" s="7">
        <f t="shared" si="62"/>
        <v>5.2303860523038592E-2</v>
      </c>
    </row>
    <row r="178" spans="1:43" x14ac:dyDescent="0.3">
      <c r="A178" s="4">
        <v>42439</v>
      </c>
      <c r="B178" s="3">
        <v>16995.130859000001</v>
      </c>
      <c r="C178" s="7">
        <f t="shared" si="42"/>
        <v>-3.0755326312026376E-4</v>
      </c>
      <c r="D178" s="3">
        <v>99.505071999999998</v>
      </c>
      <c r="E178" s="7">
        <f t="shared" si="43"/>
        <v>4.9442014495282294E-4</v>
      </c>
      <c r="F178" s="3">
        <v>84.849997999999999</v>
      </c>
      <c r="G178" s="7">
        <f t="shared" si="44"/>
        <v>-4.9255191131296616E-3</v>
      </c>
      <c r="H178" s="3">
        <v>51.368307000000001</v>
      </c>
      <c r="I178" s="7">
        <f t="shared" si="45"/>
        <v>-1.4950823965086069E-2</v>
      </c>
      <c r="J178" s="3">
        <v>37.624009000000001</v>
      </c>
      <c r="K178" s="7">
        <f t="shared" si="46"/>
        <v>-1.1174638517319369E-2</v>
      </c>
      <c r="L178" s="3">
        <v>75.574256000000005</v>
      </c>
      <c r="M178" s="7">
        <f t="shared" si="47"/>
        <v>-2.0773237582870641E-3</v>
      </c>
      <c r="N178" s="3">
        <v>13.163873000000001</v>
      </c>
      <c r="O178" s="7">
        <f t="shared" si="48"/>
        <v>9.8934300520456819E-3</v>
      </c>
      <c r="P178" s="3">
        <v>41.041271999999999</v>
      </c>
      <c r="Q178" s="7">
        <f t="shared" si="49"/>
        <v>5.3462233798804437E-3</v>
      </c>
      <c r="R178" s="3">
        <v>6.1411410000000002</v>
      </c>
      <c r="S178" s="7">
        <f t="shared" si="50"/>
        <v>-2.3364447338113048E-2</v>
      </c>
      <c r="T178" s="3">
        <v>57.313223000000001</v>
      </c>
      <c r="U178" s="7">
        <f t="shared" si="51"/>
        <v>-8.6264883323318164E-3</v>
      </c>
      <c r="V178" s="3">
        <v>47.363199999999999</v>
      </c>
      <c r="W178" s="7">
        <f t="shared" si="52"/>
        <v>-5.7389296793181055E-3</v>
      </c>
      <c r="X178" s="3">
        <v>151.54417900000001</v>
      </c>
      <c r="Y178" s="7">
        <f t="shared" si="53"/>
        <v>-1.1761396747771435E-3</v>
      </c>
      <c r="Z178" s="3">
        <v>124.60248199999999</v>
      </c>
      <c r="AA178" s="7">
        <f t="shared" si="54"/>
        <v>-1.1108372192701887E-3</v>
      </c>
      <c r="AB178" s="3">
        <v>11.55</v>
      </c>
      <c r="AC178" s="7">
        <f t="shared" si="55"/>
        <v>3.4752389226759828E-3</v>
      </c>
      <c r="AD178" s="3">
        <v>79.567323000000002</v>
      </c>
      <c r="AE178" s="7">
        <f t="shared" si="56"/>
        <v>3.5710015812859819E-3</v>
      </c>
      <c r="AF178" s="3">
        <v>66.465041999999997</v>
      </c>
      <c r="AG178" s="7">
        <f t="shared" si="57"/>
        <v>-1.7769155669611347E-3</v>
      </c>
      <c r="AH178" s="3">
        <v>18.202476000000001</v>
      </c>
      <c r="AI178" s="7">
        <f t="shared" si="58"/>
        <v>-2.5953366957629731E-2</v>
      </c>
      <c r="AJ178" s="3">
        <v>80.096773999999996</v>
      </c>
      <c r="AK178" s="7">
        <f t="shared" si="59"/>
        <v>-2.6699141008954541E-3</v>
      </c>
      <c r="AL178" s="3">
        <v>5.35</v>
      </c>
      <c r="AM178" s="7">
        <f t="shared" si="60"/>
        <v>4.2884990253411193E-2</v>
      </c>
      <c r="AN178" s="3">
        <v>0.87</v>
      </c>
      <c r="AO178" s="7">
        <f t="shared" si="61"/>
        <v>-0.179245283018868</v>
      </c>
      <c r="AP178" s="3">
        <v>8.0299999999999994</v>
      </c>
      <c r="AQ178" s="7">
        <f t="shared" si="62"/>
        <v>2.5542784163473664E-2</v>
      </c>
    </row>
    <row r="179" spans="1:43" x14ac:dyDescent="0.3">
      <c r="A179" s="4">
        <v>42438</v>
      </c>
      <c r="B179" s="3">
        <v>17000.359375</v>
      </c>
      <c r="C179" s="7">
        <f t="shared" si="42"/>
        <v>2.137441233884374E-3</v>
      </c>
      <c r="D179" s="3">
        <v>99.455899000000002</v>
      </c>
      <c r="E179" s="7">
        <f t="shared" si="43"/>
        <v>8.9086583105513206E-4</v>
      </c>
      <c r="F179" s="3">
        <v>85.269997000000004</v>
      </c>
      <c r="G179" s="7">
        <f t="shared" si="44"/>
        <v>1.0906923791509815E-2</v>
      </c>
      <c r="H179" s="3">
        <v>52.147962</v>
      </c>
      <c r="I179" s="7">
        <f t="shared" si="45"/>
        <v>2.3039675401837822E-2</v>
      </c>
      <c r="J179" s="3">
        <v>38.049194999999997</v>
      </c>
      <c r="K179" s="7">
        <f t="shared" si="46"/>
        <v>8.649999581155976E-3</v>
      </c>
      <c r="L179" s="3">
        <v>75.731575000000007</v>
      </c>
      <c r="M179" s="7">
        <f t="shared" si="47"/>
        <v>8.9075236185096607E-3</v>
      </c>
      <c r="N179" s="3">
        <v>13.034913</v>
      </c>
      <c r="O179" s="7">
        <f t="shared" si="48"/>
        <v>6.1255586697070985E-3</v>
      </c>
      <c r="P179" s="3">
        <v>40.823022999999999</v>
      </c>
      <c r="Q179" s="7">
        <f t="shared" si="49"/>
        <v>2.4361175395772872E-3</v>
      </c>
      <c r="R179" s="3">
        <v>6.2880580000000004</v>
      </c>
      <c r="S179" s="7">
        <f t="shared" si="50"/>
        <v>3.0497562833468717E-2</v>
      </c>
      <c r="T179" s="3">
        <v>57.811937</v>
      </c>
      <c r="U179" s="7">
        <f t="shared" si="51"/>
        <v>5.7842924374080784E-3</v>
      </c>
      <c r="V179" s="3">
        <v>47.636583000000002</v>
      </c>
      <c r="W179" s="7">
        <f t="shared" si="52"/>
        <v>-5.3006826937361806E-3</v>
      </c>
      <c r="X179" s="3">
        <v>151.72262599999999</v>
      </c>
      <c r="Y179" s="7">
        <f t="shared" si="53"/>
        <v>1.3911931377714293E-2</v>
      </c>
      <c r="Z179" s="3">
        <v>124.741049</v>
      </c>
      <c r="AA179" s="7">
        <f t="shared" si="54"/>
        <v>-5.4450984438823014E-3</v>
      </c>
      <c r="AB179" s="3">
        <v>11.51</v>
      </c>
      <c r="AC179" s="7">
        <f t="shared" si="55"/>
        <v>-2.9510961214165188E-2</v>
      </c>
      <c r="AD179" s="3">
        <v>79.284199000000001</v>
      </c>
      <c r="AE179" s="7">
        <f t="shared" si="56"/>
        <v>8.4440633951088362E-3</v>
      </c>
      <c r="AF179" s="3">
        <v>66.583354999999997</v>
      </c>
      <c r="AG179" s="7">
        <f t="shared" si="57"/>
        <v>-1.4809316089947622E-4</v>
      </c>
      <c r="AH179" s="3">
        <v>18.687479</v>
      </c>
      <c r="AI179" s="7">
        <f t="shared" si="58"/>
        <v>-1.666677366045799E-2</v>
      </c>
      <c r="AJ179" s="3">
        <v>80.311198000000005</v>
      </c>
      <c r="AK179" s="7">
        <f t="shared" si="59"/>
        <v>-2.7834356442896224E-3</v>
      </c>
      <c r="AL179" s="3">
        <v>5.13</v>
      </c>
      <c r="AM179" s="7">
        <f t="shared" si="60"/>
        <v>1.1834319526627057E-2</v>
      </c>
      <c r="AN179" s="3">
        <v>1.06</v>
      </c>
      <c r="AO179" s="7">
        <f t="shared" si="61"/>
        <v>6.0000000000000053E-2</v>
      </c>
      <c r="AP179" s="3">
        <v>7.83</v>
      </c>
      <c r="AQ179" s="7">
        <f t="shared" si="62"/>
        <v>0.12987012987012991</v>
      </c>
    </row>
    <row r="180" spans="1:43" x14ac:dyDescent="0.3">
      <c r="A180" s="4">
        <v>42437</v>
      </c>
      <c r="B180" s="3">
        <v>16964.099609000001</v>
      </c>
      <c r="C180" s="7">
        <f t="shared" si="42"/>
        <v>-6.4337552250510743E-3</v>
      </c>
      <c r="D180" s="3">
        <v>99.367375999999993</v>
      </c>
      <c r="E180" s="7">
        <f t="shared" si="43"/>
        <v>-8.2458396825441094E-3</v>
      </c>
      <c r="F180" s="3">
        <v>84.349997999999999</v>
      </c>
      <c r="G180" s="7">
        <f t="shared" si="44"/>
        <v>-8.9296556347120415E-3</v>
      </c>
      <c r="H180" s="3">
        <v>50.973548000000001</v>
      </c>
      <c r="I180" s="7">
        <f t="shared" si="45"/>
        <v>1.2149756920273536E-2</v>
      </c>
      <c r="J180" s="3">
        <v>37.722892000000002</v>
      </c>
      <c r="K180" s="7">
        <f t="shared" si="46"/>
        <v>-5.4744277302669619E-3</v>
      </c>
      <c r="L180" s="3">
        <v>75.062950000000001</v>
      </c>
      <c r="M180" s="7">
        <f t="shared" si="47"/>
        <v>-1.5694934192501675E-3</v>
      </c>
      <c r="N180" s="3">
        <v>12.955553</v>
      </c>
      <c r="O180" s="7">
        <f t="shared" si="48"/>
        <v>-3.4737534694507577E-2</v>
      </c>
      <c r="P180" s="3">
        <v>40.723815000000002</v>
      </c>
      <c r="Q180" s="7">
        <f t="shared" si="49"/>
        <v>-3.6611165732990059E-2</v>
      </c>
      <c r="R180" s="3">
        <v>6.1019629999999996</v>
      </c>
      <c r="S180" s="7">
        <f t="shared" si="50"/>
        <v>-5.3191355656036721E-2</v>
      </c>
      <c r="T180" s="3">
        <v>57.479458999999999</v>
      </c>
      <c r="U180" s="7">
        <f t="shared" si="51"/>
        <v>-1.9352697080144643E-2</v>
      </c>
      <c r="V180" s="3">
        <v>47.890434999999997</v>
      </c>
      <c r="W180" s="7">
        <f t="shared" si="52"/>
        <v>-2.03714855046776E-2</v>
      </c>
      <c r="X180" s="3">
        <v>149.64083299999999</v>
      </c>
      <c r="Y180" s="7">
        <f t="shared" si="53"/>
        <v>1.8762229299689182E-2</v>
      </c>
      <c r="Z180" s="3">
        <v>125.42399500000001</v>
      </c>
      <c r="AA180" s="7">
        <f t="shared" si="54"/>
        <v>9.8820762301574661E-3</v>
      </c>
      <c r="AB180" s="3">
        <v>11.86</v>
      </c>
      <c r="AC180" s="7">
        <f t="shared" si="55"/>
        <v>1.5410958904109595E-2</v>
      </c>
      <c r="AD180" s="3">
        <v>78.620323999999997</v>
      </c>
      <c r="AE180" s="7">
        <f t="shared" si="56"/>
        <v>-3.5882335585638581E-3</v>
      </c>
      <c r="AF180" s="3">
        <v>66.593216999999996</v>
      </c>
      <c r="AG180" s="7">
        <f t="shared" si="57"/>
        <v>2.2094648730888178E-3</v>
      </c>
      <c r="AH180" s="3">
        <v>19.004218000000002</v>
      </c>
      <c r="AI180" s="7">
        <f t="shared" si="58"/>
        <v>-8.3532206910051143E-2</v>
      </c>
      <c r="AJ180" s="3">
        <v>80.535363000000004</v>
      </c>
      <c r="AK180" s="7">
        <f t="shared" si="59"/>
        <v>-2.1667082224966827E-2</v>
      </c>
      <c r="AL180" s="3">
        <v>5.07</v>
      </c>
      <c r="AM180" s="7">
        <f t="shared" si="60"/>
        <v>-2.8735632183907955E-2</v>
      </c>
      <c r="AN180" s="3">
        <v>1</v>
      </c>
      <c r="AO180" s="7">
        <f t="shared" si="61"/>
        <v>-0.31034482758620685</v>
      </c>
      <c r="AP180" s="3">
        <v>6.93</v>
      </c>
      <c r="AQ180" s="7">
        <f t="shared" si="62"/>
        <v>-0.15073529411764708</v>
      </c>
    </row>
    <row r="181" spans="1:43" x14ac:dyDescent="0.3">
      <c r="A181" s="4">
        <v>42436</v>
      </c>
      <c r="B181" s="3">
        <v>17073.949218999998</v>
      </c>
      <c r="C181" s="7">
        <f t="shared" si="42"/>
        <v>3.9501733634681457E-3</v>
      </c>
      <c r="D181" s="3">
        <v>100.193556</v>
      </c>
      <c r="E181" s="7">
        <f t="shared" si="43"/>
        <v>-1.1066883173380559E-2</v>
      </c>
      <c r="F181" s="3">
        <v>85.110000999999997</v>
      </c>
      <c r="G181" s="7">
        <f t="shared" si="44"/>
        <v>-1.2415862148990597E-2</v>
      </c>
      <c r="H181" s="3">
        <v>50.361666</v>
      </c>
      <c r="I181" s="7">
        <f t="shared" si="45"/>
        <v>-1.9219678741193347E-2</v>
      </c>
      <c r="J181" s="3">
        <v>37.930540000000001</v>
      </c>
      <c r="K181" s="7">
        <f t="shared" si="46"/>
        <v>1.2404379460734916E-2</v>
      </c>
      <c r="L181" s="3">
        <v>75.180946000000006</v>
      </c>
      <c r="M181" s="7">
        <f t="shared" si="47"/>
        <v>-6.2386621195672509E-3</v>
      </c>
      <c r="N181" s="3">
        <v>13.421792999999999</v>
      </c>
      <c r="O181" s="7">
        <f t="shared" si="48"/>
        <v>-7.3862501837074213E-4</v>
      </c>
      <c r="P181" s="3">
        <v>42.271420999999997</v>
      </c>
      <c r="Q181" s="7">
        <f t="shared" si="49"/>
        <v>-5.1366127214815815E-3</v>
      </c>
      <c r="R181" s="3">
        <v>6.444769</v>
      </c>
      <c r="S181" s="7">
        <f t="shared" si="50"/>
        <v>1.0752629148860882E-2</v>
      </c>
      <c r="T181" s="3">
        <v>58.613793999999999</v>
      </c>
      <c r="U181" s="7">
        <f t="shared" si="51"/>
        <v>-1.8318036230767776E-3</v>
      </c>
      <c r="V181" s="3">
        <v>48.886322</v>
      </c>
      <c r="W181" s="7">
        <f t="shared" si="52"/>
        <v>-7.9825649580578251E-4</v>
      </c>
      <c r="X181" s="3">
        <v>146.88494399999999</v>
      </c>
      <c r="Y181" s="7">
        <f t="shared" si="53"/>
        <v>-1.8091424229769393E-2</v>
      </c>
      <c r="Z181" s="3">
        <v>124.196674</v>
      </c>
      <c r="AA181" s="7">
        <f t="shared" si="54"/>
        <v>4.8582394279488295E-3</v>
      </c>
      <c r="AB181" s="3">
        <v>11.68</v>
      </c>
      <c r="AC181" s="7">
        <f t="shared" si="55"/>
        <v>4.1926851025869682E-2</v>
      </c>
      <c r="AD181" s="3">
        <v>78.903447999999997</v>
      </c>
      <c r="AE181" s="7">
        <f t="shared" si="56"/>
        <v>-3.8210064515868947E-3</v>
      </c>
      <c r="AF181" s="3">
        <v>66.446405999999996</v>
      </c>
      <c r="AG181" s="7">
        <f t="shared" si="57"/>
        <v>1.6621754391462185E-2</v>
      </c>
      <c r="AH181" s="3">
        <v>20.736373</v>
      </c>
      <c r="AI181" s="7">
        <f t="shared" si="58"/>
        <v>0.14044639511631996</v>
      </c>
      <c r="AJ181" s="3">
        <v>82.318974999999995</v>
      </c>
      <c r="AK181" s="7">
        <f t="shared" si="59"/>
        <v>2.6370123300355708E-2</v>
      </c>
      <c r="AL181" s="3">
        <v>5.22</v>
      </c>
      <c r="AM181" s="7">
        <f t="shared" si="60"/>
        <v>-7.6045627376425395E-3</v>
      </c>
      <c r="AN181" s="3">
        <v>1.45</v>
      </c>
      <c r="AO181" s="7">
        <f t="shared" si="61"/>
        <v>0.72619047619047628</v>
      </c>
      <c r="AP181" s="3">
        <v>8.16</v>
      </c>
      <c r="AQ181" s="7">
        <f t="shared" si="62"/>
        <v>0.15091678420310295</v>
      </c>
    </row>
    <row r="182" spans="1:43" x14ac:dyDescent="0.3">
      <c r="A182" s="4">
        <v>42433</v>
      </c>
      <c r="B182" s="3">
        <v>17006.769531000002</v>
      </c>
      <c r="C182" s="7">
        <f t="shared" si="42"/>
        <v>3.7104290363625392E-3</v>
      </c>
      <c r="D182" s="3">
        <v>101.314795</v>
      </c>
      <c r="E182" s="7">
        <f t="shared" si="43"/>
        <v>1.4876863778827687E-2</v>
      </c>
      <c r="F182" s="3">
        <v>86.18</v>
      </c>
      <c r="G182" s="7">
        <f t="shared" si="44"/>
        <v>-1.1810560850940788E-2</v>
      </c>
      <c r="H182" s="3">
        <v>51.348568999999998</v>
      </c>
      <c r="I182" s="7">
        <f t="shared" si="45"/>
        <v>-6.1126837937096612E-3</v>
      </c>
      <c r="J182" s="3">
        <v>37.465800000000002</v>
      </c>
      <c r="K182" s="7">
        <f t="shared" si="46"/>
        <v>0</v>
      </c>
      <c r="L182" s="3">
        <v>75.652918999999997</v>
      </c>
      <c r="M182" s="7">
        <f t="shared" si="47"/>
        <v>3.5216347467572628E-3</v>
      </c>
      <c r="N182" s="3">
        <v>13.431713999999999</v>
      </c>
      <c r="O182" s="7">
        <f t="shared" si="48"/>
        <v>2.9629554405252723E-3</v>
      </c>
      <c r="P182" s="3">
        <v>42.489674000000001</v>
      </c>
      <c r="Q182" s="7">
        <f t="shared" si="49"/>
        <v>0</v>
      </c>
      <c r="R182" s="3">
        <v>6.3762080000000001</v>
      </c>
      <c r="S182" s="7">
        <f t="shared" si="50"/>
        <v>-1.6616267838093002E-2</v>
      </c>
      <c r="T182" s="3">
        <v>58.721359999999997</v>
      </c>
      <c r="U182" s="7">
        <f t="shared" si="51"/>
        <v>1.5009887205492678E-3</v>
      </c>
      <c r="V182" s="3">
        <v>48.925376999999997</v>
      </c>
      <c r="W182" s="7">
        <f t="shared" si="52"/>
        <v>6.8314194423255703E-3</v>
      </c>
      <c r="X182" s="3">
        <v>149.591263</v>
      </c>
      <c r="Y182" s="7">
        <f t="shared" si="53"/>
        <v>-4.6175004385826668E-3</v>
      </c>
      <c r="Z182" s="3">
        <v>123.596214</v>
      </c>
      <c r="AA182" s="7">
        <f t="shared" si="54"/>
        <v>-9.7792264001329565E-3</v>
      </c>
      <c r="AB182" s="3">
        <v>11.21</v>
      </c>
      <c r="AC182" s="7">
        <f t="shared" si="55"/>
        <v>3.4132841328413432E-2</v>
      </c>
      <c r="AD182" s="3">
        <v>79.206095000000005</v>
      </c>
      <c r="AE182" s="7">
        <f t="shared" si="56"/>
        <v>1.7814560490219788E-2</v>
      </c>
      <c r="AF182" s="3">
        <v>65.360007999999993</v>
      </c>
      <c r="AG182" s="7">
        <f t="shared" si="57"/>
        <v>9.6764406042690876E-3</v>
      </c>
      <c r="AH182" s="3">
        <v>18.182680999999999</v>
      </c>
      <c r="AI182" s="7">
        <f t="shared" si="58"/>
        <v>6.1849822379536068E-2</v>
      </c>
      <c r="AJ182" s="3">
        <v>80.203986</v>
      </c>
      <c r="AK182" s="7">
        <f t="shared" si="59"/>
        <v>-1.3349570504477271E-3</v>
      </c>
      <c r="AL182" s="3">
        <v>5.26</v>
      </c>
      <c r="AM182" s="7">
        <f t="shared" si="60"/>
        <v>0.11677282377919318</v>
      </c>
      <c r="AN182" s="3">
        <v>0.84</v>
      </c>
      <c r="AO182" s="7">
        <f t="shared" si="61"/>
        <v>0.86666666666666647</v>
      </c>
      <c r="AP182" s="3">
        <v>7.09</v>
      </c>
      <c r="AQ182" s="7">
        <f t="shared" si="62"/>
        <v>0.12361331220285265</v>
      </c>
    </row>
    <row r="183" spans="1:43" x14ac:dyDescent="0.3">
      <c r="A183" s="4">
        <v>42432</v>
      </c>
      <c r="B183" s="3">
        <v>16943.900390999999</v>
      </c>
      <c r="C183" s="7">
        <f t="shared" si="42"/>
        <v>2.6379805919380939E-3</v>
      </c>
      <c r="D183" s="3">
        <v>99.829643000000004</v>
      </c>
      <c r="E183" s="7">
        <f t="shared" si="43"/>
        <v>7.4441742185304971E-3</v>
      </c>
      <c r="F183" s="3">
        <v>87.209998999999996</v>
      </c>
      <c r="G183" s="7">
        <f t="shared" si="44"/>
        <v>-1.334992661330392E-2</v>
      </c>
      <c r="H183" s="3">
        <v>51.664377000000002</v>
      </c>
      <c r="I183" s="7">
        <f t="shared" si="45"/>
        <v>-1.1331504228314193E-2</v>
      </c>
      <c r="J183" s="3">
        <v>37.465800000000002</v>
      </c>
      <c r="K183" s="7">
        <f t="shared" si="46"/>
        <v>3.4428079943209511E-3</v>
      </c>
      <c r="L183" s="3">
        <v>75.387432000000004</v>
      </c>
      <c r="M183" s="7">
        <f t="shared" si="47"/>
        <v>-1.3383098175520969E-2</v>
      </c>
      <c r="N183" s="3">
        <v>13.392034000000001</v>
      </c>
      <c r="O183" s="7">
        <f t="shared" si="48"/>
        <v>6.7114679194602012E-3</v>
      </c>
      <c r="P183" s="3">
        <v>42.489674000000001</v>
      </c>
      <c r="Q183" s="7">
        <f t="shared" si="49"/>
        <v>1.4448154115171974E-2</v>
      </c>
      <c r="R183" s="3">
        <v>6.4839469999999997</v>
      </c>
      <c r="S183" s="7">
        <f t="shared" si="50"/>
        <v>4.7468277235003464E-2</v>
      </c>
      <c r="T183" s="3">
        <v>58.633352000000002</v>
      </c>
      <c r="U183" s="7">
        <f t="shared" si="51"/>
        <v>3.3467392735821999E-3</v>
      </c>
      <c r="V183" s="3">
        <v>48.593415</v>
      </c>
      <c r="W183" s="7">
        <f t="shared" si="52"/>
        <v>4.0347210023061741E-3</v>
      </c>
      <c r="X183" s="3">
        <v>150.28520499999999</v>
      </c>
      <c r="Y183" s="7">
        <f t="shared" si="53"/>
        <v>-7.7883801848680489E-3</v>
      </c>
      <c r="Z183" s="3">
        <v>124.81682600000001</v>
      </c>
      <c r="AA183" s="7">
        <f t="shared" si="54"/>
        <v>9.6345790242524654E-3</v>
      </c>
      <c r="AB183" s="3">
        <v>10.84</v>
      </c>
      <c r="AC183" s="7">
        <f t="shared" si="55"/>
        <v>2.457466918714557E-2</v>
      </c>
      <c r="AD183" s="3">
        <v>77.819770000000005</v>
      </c>
      <c r="AE183" s="7">
        <f t="shared" si="56"/>
        <v>-1.7139324650967458E-2</v>
      </c>
      <c r="AF183" s="3">
        <v>64.733616999999995</v>
      </c>
      <c r="AG183" s="7">
        <f t="shared" si="57"/>
        <v>-1.0572337994826375E-3</v>
      </c>
      <c r="AH183" s="3">
        <v>17.12359</v>
      </c>
      <c r="AI183" s="7">
        <f t="shared" si="58"/>
        <v>3.779238988570599E-2</v>
      </c>
      <c r="AJ183" s="3">
        <v>80.311198000000005</v>
      </c>
      <c r="AK183" s="7">
        <f t="shared" si="59"/>
        <v>-3.6275183726619531E-3</v>
      </c>
      <c r="AL183" s="3">
        <v>4.71</v>
      </c>
      <c r="AM183" s="7">
        <f t="shared" si="60"/>
        <v>0.14598540145985384</v>
      </c>
      <c r="AN183" s="3">
        <v>0.45</v>
      </c>
      <c r="AO183" s="7">
        <f t="shared" si="61"/>
        <v>0.21621621621621623</v>
      </c>
      <c r="AP183" s="3">
        <v>6.31</v>
      </c>
      <c r="AQ183" s="7">
        <f t="shared" si="62"/>
        <v>0.21346153846153837</v>
      </c>
    </row>
    <row r="184" spans="1:43" x14ac:dyDescent="0.3">
      <c r="A184" s="4">
        <v>42431</v>
      </c>
      <c r="B184" s="3">
        <v>16899.320312</v>
      </c>
      <c r="C184" s="7">
        <f t="shared" si="42"/>
        <v>2.0302443772364231E-3</v>
      </c>
      <c r="D184" s="3">
        <v>99.091984999999994</v>
      </c>
      <c r="E184" s="7">
        <f t="shared" si="43"/>
        <v>2.1884164672207884E-3</v>
      </c>
      <c r="F184" s="3">
        <v>88.389999000000003</v>
      </c>
      <c r="G184" s="7">
        <f t="shared" si="44"/>
        <v>2.2627587779999736E-4</v>
      </c>
      <c r="H184" s="3">
        <v>52.256521999999997</v>
      </c>
      <c r="I184" s="7">
        <f t="shared" si="45"/>
        <v>7.03689291829801E-3</v>
      </c>
      <c r="J184" s="3">
        <v>37.337254999999999</v>
      </c>
      <c r="K184" s="7">
        <f t="shared" si="46"/>
        <v>-6.0543037192675175E-3</v>
      </c>
      <c r="L184" s="3">
        <v>76.410034999999993</v>
      </c>
      <c r="M184" s="7">
        <f t="shared" si="47"/>
        <v>-2.5671255308317154E-3</v>
      </c>
      <c r="N184" s="3">
        <v>13.302752999999999</v>
      </c>
      <c r="O184" s="7">
        <f t="shared" si="48"/>
        <v>2.0547893185017818E-2</v>
      </c>
      <c r="P184" s="3">
        <v>41.884520000000002</v>
      </c>
      <c r="Q184" s="7">
        <f t="shared" si="49"/>
        <v>2.3019159657494681E-2</v>
      </c>
      <c r="R184" s="3">
        <v>6.1901130000000002</v>
      </c>
      <c r="S184" s="7">
        <f t="shared" si="50"/>
        <v>3.267979853268721E-2</v>
      </c>
      <c r="T184" s="3">
        <v>58.437775999999999</v>
      </c>
      <c r="U184" s="7">
        <f t="shared" si="51"/>
        <v>9.4594127026992325E-3</v>
      </c>
      <c r="V184" s="3">
        <v>48.398142</v>
      </c>
      <c r="W184" s="7">
        <f t="shared" si="52"/>
        <v>1.7446599556620201E-2</v>
      </c>
      <c r="X184" s="3">
        <v>151.46487099999999</v>
      </c>
      <c r="Y184" s="7">
        <f t="shared" si="53"/>
        <v>1.5080980463777482E-2</v>
      </c>
      <c r="Z184" s="3">
        <v>123.625744</v>
      </c>
      <c r="AA184" s="7">
        <f t="shared" si="54"/>
        <v>-8.7510287388703478E-4</v>
      </c>
      <c r="AB184" s="3">
        <v>10.58</v>
      </c>
      <c r="AC184" s="7">
        <f t="shared" si="55"/>
        <v>3.9292730844793677E-2</v>
      </c>
      <c r="AD184" s="3">
        <v>79.176806999999997</v>
      </c>
      <c r="AE184" s="7">
        <f t="shared" si="56"/>
        <v>1.7292355599425324E-3</v>
      </c>
      <c r="AF184" s="3">
        <v>64.802127999999996</v>
      </c>
      <c r="AG184" s="7">
        <f t="shared" si="57"/>
        <v>-3.761660141007428E-3</v>
      </c>
      <c r="AH184" s="3">
        <v>16.500015000000001</v>
      </c>
      <c r="AI184" s="7">
        <f t="shared" si="58"/>
        <v>5.9085151524137736E-2</v>
      </c>
      <c r="AJ184" s="3">
        <v>80.603588999999999</v>
      </c>
      <c r="AK184" s="7">
        <f t="shared" si="59"/>
        <v>1.747045209917597E-2</v>
      </c>
      <c r="AL184" s="3">
        <v>4.1100000000000003</v>
      </c>
      <c r="AM184" s="7">
        <f t="shared" si="60"/>
        <v>8.4432717678100344E-2</v>
      </c>
      <c r="AN184" s="3">
        <v>0.37</v>
      </c>
      <c r="AO184" s="7">
        <f t="shared" si="61"/>
        <v>0.15625</v>
      </c>
      <c r="AP184" s="3">
        <v>5.2</v>
      </c>
      <c r="AQ184" s="7">
        <f t="shared" si="62"/>
        <v>0.19540229885057481</v>
      </c>
    </row>
    <row r="185" spans="1:43" x14ac:dyDescent="0.3">
      <c r="A185" s="4">
        <v>42430</v>
      </c>
      <c r="B185" s="3">
        <v>16865.080077999999</v>
      </c>
      <c r="C185" s="7">
        <f t="shared" si="42"/>
        <v>2.110496037296028E-2</v>
      </c>
      <c r="D185" s="3">
        <v>98.875603999999996</v>
      </c>
      <c r="E185" s="7">
        <f t="shared" si="43"/>
        <v>3.9714506603353295E-2</v>
      </c>
      <c r="F185" s="3">
        <v>88.370002999999997</v>
      </c>
      <c r="G185" s="7">
        <f t="shared" si="44"/>
        <v>3.7815630350777951E-2</v>
      </c>
      <c r="H185" s="3">
        <v>51.891368</v>
      </c>
      <c r="I185" s="7">
        <f t="shared" si="45"/>
        <v>3.341196271163982E-2</v>
      </c>
      <c r="J185" s="3">
        <v>37.564683000000002</v>
      </c>
      <c r="K185" s="7">
        <f t="shared" si="46"/>
        <v>3.289838682540136E-2</v>
      </c>
      <c r="L185" s="3">
        <v>76.606694000000005</v>
      </c>
      <c r="M185" s="7">
        <f t="shared" si="47"/>
        <v>3.4112121355169611E-2</v>
      </c>
      <c r="N185" s="3">
        <v>13.034913</v>
      </c>
      <c r="O185" s="7">
        <f t="shared" si="48"/>
        <v>5.3514360664461247E-2</v>
      </c>
      <c r="P185" s="3">
        <v>40.942067999999999</v>
      </c>
      <c r="Q185" s="7">
        <f t="shared" si="49"/>
        <v>6.2290899610640826E-2</v>
      </c>
      <c r="R185" s="3">
        <v>5.9942229999999999</v>
      </c>
      <c r="S185" s="7">
        <f t="shared" si="50"/>
        <v>7.9364945028983502E-2</v>
      </c>
      <c r="T185" s="3">
        <v>57.890169</v>
      </c>
      <c r="U185" s="7">
        <f t="shared" si="51"/>
        <v>5.1509807648012274E-2</v>
      </c>
      <c r="V185" s="3">
        <v>47.568238000000001</v>
      </c>
      <c r="W185" s="7">
        <f t="shared" si="52"/>
        <v>3.8363234441634031E-2</v>
      </c>
      <c r="X185" s="3">
        <v>149.21456900000001</v>
      </c>
      <c r="Y185" s="7">
        <f t="shared" si="53"/>
        <v>3.2660450045678413E-3</v>
      </c>
      <c r="Z185" s="3">
        <v>123.73402400000001</v>
      </c>
      <c r="AA185" s="7">
        <f t="shared" si="54"/>
        <v>1.2729571341711488E-2</v>
      </c>
      <c r="AB185" s="3">
        <v>10.18</v>
      </c>
      <c r="AC185" s="7">
        <f t="shared" si="55"/>
        <v>-1.9607843137254832E-3</v>
      </c>
      <c r="AD185" s="3">
        <v>79.040127999999996</v>
      </c>
      <c r="AE185" s="7">
        <f t="shared" si="56"/>
        <v>3.1994937905902576E-2</v>
      </c>
      <c r="AF185" s="3">
        <v>65.046812000000003</v>
      </c>
      <c r="AG185" s="7">
        <f t="shared" si="57"/>
        <v>1.8089042952387224E-3</v>
      </c>
      <c r="AH185" s="3">
        <v>15.579497999999999</v>
      </c>
      <c r="AI185" s="7">
        <f t="shared" si="58"/>
        <v>3.484545865224109E-2</v>
      </c>
      <c r="AJ185" s="3">
        <v>79.219587000000004</v>
      </c>
      <c r="AK185" s="7">
        <f t="shared" si="59"/>
        <v>1.4098539401185217E-2</v>
      </c>
      <c r="AL185" s="3">
        <v>3.79</v>
      </c>
      <c r="AM185" s="7">
        <f t="shared" si="60"/>
        <v>5.2777777777777812E-2</v>
      </c>
      <c r="AN185" s="3">
        <v>0.32</v>
      </c>
      <c r="AO185" s="7">
        <f t="shared" si="61"/>
        <v>0</v>
      </c>
      <c r="AP185" s="3">
        <v>4.3499999999999996</v>
      </c>
      <c r="AQ185" s="7">
        <f t="shared" si="62"/>
        <v>8.4788029925187081E-2</v>
      </c>
    </row>
    <row r="186" spans="1:43" x14ac:dyDescent="0.3">
      <c r="A186" s="4">
        <v>42429</v>
      </c>
      <c r="B186" s="3">
        <v>16516.5</v>
      </c>
      <c r="C186" s="7">
        <f t="shared" si="42"/>
        <v>-7.4201274271317175E-3</v>
      </c>
      <c r="D186" s="3">
        <v>95.098802000000006</v>
      </c>
      <c r="E186" s="7">
        <f t="shared" si="43"/>
        <v>-2.2701629812744706E-3</v>
      </c>
      <c r="F186" s="3">
        <v>85.150002000000001</v>
      </c>
      <c r="G186" s="7">
        <f t="shared" si="44"/>
        <v>-1.6743603158050901E-2</v>
      </c>
      <c r="H186" s="3">
        <v>50.213631999999997</v>
      </c>
      <c r="I186" s="7">
        <f t="shared" si="45"/>
        <v>-8.187108629135631E-3</v>
      </c>
      <c r="J186" s="3">
        <v>36.368226999999997</v>
      </c>
      <c r="K186" s="7">
        <f t="shared" si="46"/>
        <v>-4.8701353781891443E-3</v>
      </c>
      <c r="L186" s="3">
        <v>74.079678999999999</v>
      </c>
      <c r="M186" s="7">
        <f t="shared" si="47"/>
        <v>-1.4132448632258598E-2</v>
      </c>
      <c r="N186" s="3">
        <v>12.372790999999999</v>
      </c>
      <c r="O186" s="7">
        <f t="shared" si="48"/>
        <v>-1.4173183049770999E-2</v>
      </c>
      <c r="P186" s="3">
        <v>38.541296000000003</v>
      </c>
      <c r="Q186" s="7">
        <f t="shared" si="49"/>
        <v>-1.6455719589777318E-2</v>
      </c>
      <c r="R186" s="3">
        <v>5.5534720000000002</v>
      </c>
      <c r="S186" s="7">
        <f t="shared" si="50"/>
        <v>6.7796734007964155E-2</v>
      </c>
      <c r="T186" s="3">
        <v>55.054330999999998</v>
      </c>
      <c r="U186" s="7">
        <f t="shared" si="51"/>
        <v>-2.1550255383729455E-2</v>
      </c>
      <c r="V186" s="3">
        <v>45.810788000000002</v>
      </c>
      <c r="W186" s="7">
        <f t="shared" si="52"/>
        <v>-2.3923477598768561E-2</v>
      </c>
      <c r="X186" s="3">
        <v>148.728814</v>
      </c>
      <c r="Y186" s="7">
        <f t="shared" si="53"/>
        <v>2.3383656179549739E-3</v>
      </c>
      <c r="Z186" s="3">
        <v>122.178741</v>
      </c>
      <c r="AA186" s="7">
        <f t="shared" si="54"/>
        <v>-1.6949152405999812E-2</v>
      </c>
      <c r="AB186" s="3">
        <v>10.199999999999999</v>
      </c>
      <c r="AC186" s="7">
        <f t="shared" si="55"/>
        <v>6.3607924921793568E-2</v>
      </c>
      <c r="AD186" s="3">
        <v>76.589646999999999</v>
      </c>
      <c r="AE186" s="7">
        <f t="shared" si="56"/>
        <v>2.5495583297008295E-4</v>
      </c>
      <c r="AF186" s="3">
        <v>64.929361</v>
      </c>
      <c r="AG186" s="7">
        <f t="shared" si="57"/>
        <v>-2.5560961335849841E-3</v>
      </c>
      <c r="AH186" s="3">
        <v>15.054902999999999</v>
      </c>
      <c r="AI186" s="7">
        <f t="shared" si="58"/>
        <v>2.9790093841124632E-2</v>
      </c>
      <c r="AJ186" s="3">
        <v>78.118234000000001</v>
      </c>
      <c r="AK186" s="7">
        <f t="shared" si="59"/>
        <v>-1.9571856477637595E-2</v>
      </c>
      <c r="AL186" s="3">
        <v>3.6</v>
      </c>
      <c r="AM186" s="7">
        <f t="shared" si="60"/>
        <v>6.5088757396449815E-2</v>
      </c>
      <c r="AN186" s="3">
        <v>0.32</v>
      </c>
      <c r="AO186" s="7">
        <f t="shared" si="61"/>
        <v>3.2258064516129004E-2</v>
      </c>
      <c r="AP186" s="3">
        <v>4.01</v>
      </c>
      <c r="AQ186" s="7">
        <f t="shared" si="62"/>
        <v>3.3505154639175139E-2</v>
      </c>
    </row>
    <row r="187" spans="1:43" x14ac:dyDescent="0.3">
      <c r="A187" s="4">
        <v>42426</v>
      </c>
      <c r="B187" s="3">
        <v>16639.970702999999</v>
      </c>
      <c r="C187" s="7">
        <f t="shared" si="42"/>
        <v>-3.432794316919785E-3</v>
      </c>
      <c r="D187" s="3">
        <v>95.315183000000005</v>
      </c>
      <c r="E187" s="7">
        <f t="shared" si="43"/>
        <v>1.5502431761214019E-3</v>
      </c>
      <c r="F187" s="3">
        <v>86.599997999999999</v>
      </c>
      <c r="G187" s="7">
        <f t="shared" si="44"/>
        <v>-9.2295800646058357E-4</v>
      </c>
      <c r="H187" s="3">
        <v>50.628129999999999</v>
      </c>
      <c r="I187" s="7">
        <f t="shared" si="45"/>
        <v>-1.535507689071447E-2</v>
      </c>
      <c r="J187" s="3">
        <v>36.546211999999997</v>
      </c>
      <c r="K187" s="7">
        <f t="shared" si="46"/>
        <v>-8.8495988028374217E-3</v>
      </c>
      <c r="L187" s="3">
        <v>75.141614000000004</v>
      </c>
      <c r="M187" s="7">
        <f t="shared" si="47"/>
        <v>-2.1260286445457299E-2</v>
      </c>
      <c r="N187" s="3">
        <v>12.550674000000001</v>
      </c>
      <c r="O187" s="7">
        <f t="shared" si="48"/>
        <v>3.0844157710850695E-2</v>
      </c>
      <c r="P187" s="3">
        <v>39.186132000000001</v>
      </c>
      <c r="Q187" s="7">
        <f t="shared" si="49"/>
        <v>2.2786134589285911E-2</v>
      </c>
      <c r="R187" s="3">
        <v>5.2008700000000001</v>
      </c>
      <c r="S187" s="7">
        <f t="shared" si="50"/>
        <v>2.5096471064987691E-2</v>
      </c>
      <c r="T187" s="3">
        <v>56.266897</v>
      </c>
      <c r="U187" s="7">
        <f t="shared" si="51"/>
        <v>9.296660450130334E-3</v>
      </c>
      <c r="V187" s="3">
        <v>46.933602999999998</v>
      </c>
      <c r="W187" s="7">
        <f t="shared" si="52"/>
        <v>6.7015695531265074E-3</v>
      </c>
      <c r="X187" s="3">
        <v>148.381843</v>
      </c>
      <c r="Y187" s="7">
        <f t="shared" si="53"/>
        <v>-3.2575026662860829E-2</v>
      </c>
      <c r="Z187" s="3">
        <v>124.28527099999999</v>
      </c>
      <c r="AA187" s="7">
        <f t="shared" si="54"/>
        <v>-4.7296081224970088E-3</v>
      </c>
      <c r="AB187" s="3">
        <v>9.59</v>
      </c>
      <c r="AC187" s="7">
        <f t="shared" si="55"/>
        <v>0.14712918660287078</v>
      </c>
      <c r="AD187" s="3">
        <v>76.570125000000004</v>
      </c>
      <c r="AE187" s="7">
        <f t="shared" si="56"/>
        <v>-3.0506833648697995E-3</v>
      </c>
      <c r="AF187" s="3">
        <v>65.095752000000005</v>
      </c>
      <c r="AG187" s="7">
        <f t="shared" si="57"/>
        <v>-2.2486749664008432E-2</v>
      </c>
      <c r="AH187" s="3">
        <v>14.619389999999999</v>
      </c>
      <c r="AI187" s="7">
        <f t="shared" si="58"/>
        <v>6.5656588113613523E-2</v>
      </c>
      <c r="AJ187" s="3">
        <v>79.677673999999996</v>
      </c>
      <c r="AK187" s="7">
        <f t="shared" si="59"/>
        <v>-3.1703685743788013E-3</v>
      </c>
      <c r="AL187" s="3">
        <v>3.38</v>
      </c>
      <c r="AM187" s="7">
        <f t="shared" si="60"/>
        <v>-3.4285714285714364E-2</v>
      </c>
      <c r="AN187" s="3">
        <v>0.31</v>
      </c>
      <c r="AO187" s="7">
        <f t="shared" si="61"/>
        <v>0</v>
      </c>
      <c r="AP187" s="3">
        <v>3.88</v>
      </c>
      <c r="AQ187" s="7">
        <f t="shared" si="62"/>
        <v>9.9150141643059575E-2</v>
      </c>
    </row>
    <row r="188" spans="1:43" x14ac:dyDescent="0.3">
      <c r="A188" s="4">
        <v>42425</v>
      </c>
      <c r="B188" s="3">
        <v>16697.289062</v>
      </c>
      <c r="C188" s="7">
        <f t="shared" si="42"/>
        <v>1.2878310814048E-2</v>
      </c>
      <c r="D188" s="3">
        <v>95.167649999999995</v>
      </c>
      <c r="E188" s="7">
        <f t="shared" si="43"/>
        <v>6.8678930783363512E-3</v>
      </c>
      <c r="F188" s="3">
        <v>86.68</v>
      </c>
      <c r="G188" s="7">
        <f t="shared" si="44"/>
        <v>3.9079382380229788E-2</v>
      </c>
      <c r="H188" s="3">
        <v>51.417651999999997</v>
      </c>
      <c r="I188" s="7">
        <f t="shared" si="45"/>
        <v>1.4408073652308895E-2</v>
      </c>
      <c r="J188" s="3">
        <v>36.872518999999997</v>
      </c>
      <c r="K188" s="7">
        <f t="shared" si="46"/>
        <v>1.8018019261672347E-2</v>
      </c>
      <c r="L188" s="3">
        <v>76.773848000000001</v>
      </c>
      <c r="M188" s="7">
        <f t="shared" si="47"/>
        <v>2.6963084607591448E-2</v>
      </c>
      <c r="N188" s="3">
        <v>12.175141999999999</v>
      </c>
      <c r="O188" s="7">
        <f t="shared" si="48"/>
        <v>1.5663560093254647E-2</v>
      </c>
      <c r="P188" s="3">
        <v>38.313124000000002</v>
      </c>
      <c r="Q188" s="7">
        <f t="shared" si="49"/>
        <v>1.3914397140883272E-2</v>
      </c>
      <c r="R188" s="3">
        <v>5.0735419999999998</v>
      </c>
      <c r="S188" s="7">
        <f t="shared" si="50"/>
        <v>-5.1282137586606047E-2</v>
      </c>
      <c r="T188" s="3">
        <v>55.748621</v>
      </c>
      <c r="U188" s="7">
        <f t="shared" si="51"/>
        <v>1.5496957978570647E-2</v>
      </c>
      <c r="V188" s="3">
        <v>46.621167999999997</v>
      </c>
      <c r="W188" s="7">
        <f t="shared" si="52"/>
        <v>2.9405298917084544E-3</v>
      </c>
      <c r="X188" s="3">
        <v>153.37814</v>
      </c>
      <c r="Y188" s="7">
        <f t="shared" si="53"/>
        <v>5.5241826778349434E-3</v>
      </c>
      <c r="Z188" s="3">
        <v>124.875885</v>
      </c>
      <c r="AA188" s="7">
        <f t="shared" si="54"/>
        <v>9.9514389673989179E-3</v>
      </c>
      <c r="AB188" s="3">
        <v>8.36</v>
      </c>
      <c r="AC188" s="7">
        <f t="shared" si="55"/>
        <v>8.5714285714285632E-2</v>
      </c>
      <c r="AD188" s="3">
        <v>76.804430999999994</v>
      </c>
      <c r="AE188" s="7">
        <f t="shared" si="56"/>
        <v>2.2484984815576148E-2</v>
      </c>
      <c r="AF188" s="3">
        <v>66.593216999999996</v>
      </c>
      <c r="AG188" s="7">
        <f t="shared" si="57"/>
        <v>1.3706757007185377E-2</v>
      </c>
      <c r="AH188" s="3">
        <v>13.718669</v>
      </c>
      <c r="AI188" s="7">
        <f t="shared" si="58"/>
        <v>-2.5874142657673072E-2</v>
      </c>
      <c r="AJ188" s="3">
        <v>79.931084999999996</v>
      </c>
      <c r="AK188" s="7">
        <f t="shared" si="59"/>
        <v>6.0108616233285339E-3</v>
      </c>
      <c r="AL188" s="3">
        <v>3.5</v>
      </c>
      <c r="AM188" s="7">
        <f t="shared" si="60"/>
        <v>0</v>
      </c>
      <c r="AN188" s="3">
        <v>0.31</v>
      </c>
      <c r="AO188" s="7">
        <f t="shared" si="61"/>
        <v>3.3333333333333437E-2</v>
      </c>
      <c r="AP188" s="3">
        <v>3.53</v>
      </c>
      <c r="AQ188" s="7">
        <f t="shared" si="62"/>
        <v>-5.1075268817204367E-2</v>
      </c>
    </row>
    <row r="189" spans="1:43" x14ac:dyDescent="0.3">
      <c r="A189" s="4">
        <v>42424</v>
      </c>
      <c r="B189" s="3">
        <v>16484.990234000001</v>
      </c>
      <c r="C189" s="7">
        <f t="shared" si="42"/>
        <v>3.2382942856172825E-3</v>
      </c>
      <c r="D189" s="3">
        <v>94.518507</v>
      </c>
      <c r="E189" s="7">
        <f t="shared" si="43"/>
        <v>1.4890652448524166E-2</v>
      </c>
      <c r="F189" s="3">
        <v>83.419998000000007</v>
      </c>
      <c r="G189" s="7">
        <f t="shared" si="44"/>
        <v>4.2132899963887027E-3</v>
      </c>
      <c r="H189" s="3">
        <v>50.687345000000001</v>
      </c>
      <c r="I189" s="7">
        <f t="shared" si="45"/>
        <v>3.516987617210976E-3</v>
      </c>
      <c r="J189" s="3">
        <v>36.219907999999997</v>
      </c>
      <c r="K189" s="7">
        <f t="shared" si="46"/>
        <v>2.188828017706923E-3</v>
      </c>
      <c r="L189" s="3">
        <v>74.758138000000002</v>
      </c>
      <c r="M189" s="7">
        <f t="shared" si="47"/>
        <v>-9.7681729550515017E-3</v>
      </c>
      <c r="N189" s="3">
        <v>11.987377</v>
      </c>
      <c r="O189" s="7">
        <f t="shared" si="48"/>
        <v>-2.4670833644002688E-3</v>
      </c>
      <c r="P189" s="3">
        <v>37.787336000000003</v>
      </c>
      <c r="Q189" s="7">
        <f t="shared" si="49"/>
        <v>-3.4014126640240505E-3</v>
      </c>
      <c r="R189" s="3">
        <v>5.3477880000000004</v>
      </c>
      <c r="S189" s="7">
        <f t="shared" si="50"/>
        <v>3.6764767982577773E-3</v>
      </c>
      <c r="T189" s="3">
        <v>54.897871000000002</v>
      </c>
      <c r="U189" s="7">
        <f t="shared" si="51"/>
        <v>3.563702777020783E-4</v>
      </c>
      <c r="V189" s="3">
        <v>46.484479</v>
      </c>
      <c r="W189" s="7">
        <f t="shared" si="52"/>
        <v>-1.018706407205372E-2</v>
      </c>
      <c r="X189" s="3">
        <v>152.535506</v>
      </c>
      <c r="Y189" s="7">
        <f t="shared" si="53"/>
        <v>2.3343938500732131E-2</v>
      </c>
      <c r="Z189" s="3">
        <v>123.64543500000001</v>
      </c>
      <c r="AA189" s="7">
        <f t="shared" si="54"/>
        <v>8.6726206245477666E-3</v>
      </c>
      <c r="AB189" s="3">
        <v>7.7</v>
      </c>
      <c r="AC189" s="7">
        <f t="shared" si="55"/>
        <v>1.9867549668874274E-2</v>
      </c>
      <c r="AD189" s="3">
        <v>75.115460999999996</v>
      </c>
      <c r="AE189" s="7">
        <f t="shared" si="56"/>
        <v>3.9870320113907454E-2</v>
      </c>
      <c r="AF189" s="3">
        <v>65.692781999999994</v>
      </c>
      <c r="AG189" s="7">
        <f t="shared" si="57"/>
        <v>9.6269516469724703E-3</v>
      </c>
      <c r="AH189" s="3">
        <v>14.083055999999999</v>
      </c>
      <c r="AI189" s="7">
        <f t="shared" si="58"/>
        <v>2.8050374037029702E-3</v>
      </c>
      <c r="AJ189" s="3">
        <v>79.453501000000003</v>
      </c>
      <c r="AK189" s="7">
        <f t="shared" si="59"/>
        <v>3.5700256833137711E-3</v>
      </c>
      <c r="AL189" s="3">
        <v>3.5</v>
      </c>
      <c r="AM189" s="7">
        <f t="shared" si="60"/>
        <v>-1.1299435028248594E-2</v>
      </c>
      <c r="AN189" s="3">
        <v>0.3</v>
      </c>
      <c r="AO189" s="7">
        <f t="shared" si="61"/>
        <v>-0.11764705882352955</v>
      </c>
      <c r="AP189" s="3">
        <v>3.72</v>
      </c>
      <c r="AQ189" s="7">
        <f t="shared" si="62"/>
        <v>-5.5837563451776595E-2</v>
      </c>
    </row>
    <row r="190" spans="1:43" x14ac:dyDescent="0.3">
      <c r="A190" s="4">
        <v>42423</v>
      </c>
      <c r="B190" s="3">
        <v>16431.779297000001</v>
      </c>
      <c r="C190" s="7">
        <f t="shared" si="42"/>
        <v>-1.1364221229913984E-2</v>
      </c>
      <c r="D190" s="3">
        <v>93.131715</v>
      </c>
      <c r="E190" s="7">
        <f t="shared" si="43"/>
        <v>-2.2605235393737599E-2</v>
      </c>
      <c r="F190" s="3">
        <v>83.07</v>
      </c>
      <c r="G190" s="7">
        <f t="shared" si="44"/>
        <v>-8.7112526714350214E-3</v>
      </c>
      <c r="H190" s="3">
        <v>50.509703000000002</v>
      </c>
      <c r="I190" s="7">
        <f t="shared" si="45"/>
        <v>-2.7920234949461831E-2</v>
      </c>
      <c r="J190" s="3">
        <v>36.140802000000001</v>
      </c>
      <c r="K190" s="7">
        <f t="shared" si="46"/>
        <v>-1.5090312906003822E-2</v>
      </c>
      <c r="L190" s="3">
        <v>75.495592000000002</v>
      </c>
      <c r="M190" s="7">
        <f t="shared" si="47"/>
        <v>-1.0567014244407424E-2</v>
      </c>
      <c r="N190" s="3">
        <v>12.017023999999999</v>
      </c>
      <c r="O190" s="7">
        <f t="shared" si="48"/>
        <v>-3.0303030303030387E-2</v>
      </c>
      <c r="P190" s="3">
        <v>37.916305000000001</v>
      </c>
      <c r="Q190" s="7">
        <f t="shared" si="49"/>
        <v>-3.2894706301646703E-2</v>
      </c>
      <c r="R190" s="3">
        <v>5.3281989999999997</v>
      </c>
      <c r="S190" s="7">
        <f t="shared" si="50"/>
        <v>-4.8950957831974895E-2</v>
      </c>
      <c r="T190" s="3">
        <v>54.878314000000003</v>
      </c>
      <c r="U190" s="7">
        <f t="shared" si="51"/>
        <v>-4.183029863739296E-2</v>
      </c>
      <c r="V190" s="3">
        <v>46.962893000000001</v>
      </c>
      <c r="W190" s="7">
        <f t="shared" si="52"/>
        <v>-2.2158977869276897E-2</v>
      </c>
      <c r="X190" s="3">
        <v>149.05595299999999</v>
      </c>
      <c r="Y190" s="7">
        <f t="shared" si="53"/>
        <v>1.9992195137794599E-3</v>
      </c>
      <c r="Z190" s="3">
        <v>122.582325</v>
      </c>
      <c r="AA190" s="7">
        <f t="shared" si="54"/>
        <v>1.3675218269292744E-2</v>
      </c>
      <c r="AB190" s="3">
        <v>7.55</v>
      </c>
      <c r="AC190" s="7">
        <f t="shared" si="55"/>
        <v>2.0270270270270174E-2</v>
      </c>
      <c r="AD190" s="3">
        <v>72.235411999999997</v>
      </c>
      <c r="AE190" s="7">
        <f t="shared" si="56"/>
        <v>2.0974153748912094E-2</v>
      </c>
      <c r="AF190" s="3">
        <v>65.066390999999996</v>
      </c>
      <c r="AG190" s="7">
        <f t="shared" si="57"/>
        <v>1.295149072556212E-2</v>
      </c>
      <c r="AH190" s="3">
        <v>14.043663</v>
      </c>
      <c r="AI190" s="7">
        <f t="shared" si="58"/>
        <v>-7.6424789027315865E-2</v>
      </c>
      <c r="AJ190" s="3">
        <v>79.170858999999993</v>
      </c>
      <c r="AK190" s="7">
        <f t="shared" si="59"/>
        <v>-1.4079322528787852E-2</v>
      </c>
      <c r="AL190" s="3">
        <v>3.54</v>
      </c>
      <c r="AM190" s="7">
        <f t="shared" si="60"/>
        <v>-3.8043478260869623E-2</v>
      </c>
      <c r="AN190" s="3">
        <v>0.34</v>
      </c>
      <c r="AO190" s="7">
        <f t="shared" si="61"/>
        <v>-0.10526315789473684</v>
      </c>
      <c r="AP190" s="3">
        <v>3.94</v>
      </c>
      <c r="AQ190" s="7">
        <f t="shared" si="62"/>
        <v>-0.1471861471861472</v>
      </c>
    </row>
    <row r="191" spans="1:43" x14ac:dyDescent="0.3">
      <c r="A191" s="4">
        <v>42422</v>
      </c>
      <c r="B191" s="3">
        <v>16620.660156000002</v>
      </c>
      <c r="C191" s="7">
        <f t="shared" si="42"/>
        <v>1.3950101161340323E-2</v>
      </c>
      <c r="D191" s="3">
        <v>95.285669999999996</v>
      </c>
      <c r="E191" s="7">
        <f t="shared" si="43"/>
        <v>8.7463201291448911E-3</v>
      </c>
      <c r="F191" s="3">
        <v>83.800003000000004</v>
      </c>
      <c r="G191" s="7">
        <f t="shared" si="44"/>
        <v>3.6230986661395459E-2</v>
      </c>
      <c r="H191" s="3">
        <v>51.960450999999999</v>
      </c>
      <c r="I191" s="7">
        <f t="shared" si="45"/>
        <v>1.6017009338046062E-2</v>
      </c>
      <c r="J191" s="3">
        <v>36.694533999999997</v>
      </c>
      <c r="K191" s="7">
        <f t="shared" si="46"/>
        <v>8.9723098131784251E-3</v>
      </c>
      <c r="L191" s="3">
        <v>76.301874999999995</v>
      </c>
      <c r="M191" s="7">
        <f t="shared" si="47"/>
        <v>-3.8643350993361469E-4</v>
      </c>
      <c r="N191" s="3">
        <v>12.392556000000001</v>
      </c>
      <c r="O191" s="7">
        <f t="shared" si="48"/>
        <v>3.3800471946448418E-2</v>
      </c>
      <c r="P191" s="3">
        <v>39.205973999999998</v>
      </c>
      <c r="Q191" s="7">
        <f t="shared" si="49"/>
        <v>1.35931866099821E-2</v>
      </c>
      <c r="R191" s="3">
        <v>5.6024440000000002</v>
      </c>
      <c r="S191" s="7">
        <f t="shared" si="50"/>
        <v>1.2389311447314588E-2</v>
      </c>
      <c r="T191" s="3">
        <v>57.274107000000001</v>
      </c>
      <c r="U191" s="7">
        <f t="shared" si="51"/>
        <v>1.2971293015981544E-2</v>
      </c>
      <c r="V191" s="3">
        <v>48.027124999999998</v>
      </c>
      <c r="W191" s="7">
        <f t="shared" si="52"/>
        <v>2.287374616189064E-2</v>
      </c>
      <c r="X191" s="3">
        <v>148.75855200000001</v>
      </c>
      <c r="Y191" s="7">
        <f t="shared" si="53"/>
        <v>9.1459319338011991E-3</v>
      </c>
      <c r="Z191" s="3">
        <v>120.9286</v>
      </c>
      <c r="AA191" s="7">
        <f t="shared" si="54"/>
        <v>9.5323817416963497E-3</v>
      </c>
      <c r="AB191" s="3">
        <v>7.4</v>
      </c>
      <c r="AC191" s="7">
        <f t="shared" si="55"/>
        <v>1.0928961748633892E-2</v>
      </c>
      <c r="AD191" s="3">
        <v>70.751459999999994</v>
      </c>
      <c r="AE191" s="7">
        <f t="shared" si="56"/>
        <v>2.0741302572608866E-3</v>
      </c>
      <c r="AF191" s="3">
        <v>64.234459000000001</v>
      </c>
      <c r="AG191" s="7">
        <f t="shared" si="57"/>
        <v>1.5001431932816001E-2</v>
      </c>
      <c r="AH191" s="3">
        <v>15.20576</v>
      </c>
      <c r="AI191" s="7">
        <f t="shared" si="58"/>
        <v>9.7370231901242166E-2</v>
      </c>
      <c r="AJ191" s="3">
        <v>80.301449000000005</v>
      </c>
      <c r="AK191" s="7">
        <f t="shared" si="59"/>
        <v>-1.3333513745074077E-3</v>
      </c>
      <c r="AL191" s="3">
        <v>3.68</v>
      </c>
      <c r="AM191" s="7">
        <f t="shared" si="60"/>
        <v>0.16825396825396832</v>
      </c>
      <c r="AN191" s="3">
        <v>0.38</v>
      </c>
      <c r="AO191" s="7">
        <f t="shared" si="61"/>
        <v>0</v>
      </c>
      <c r="AP191" s="3">
        <v>4.62</v>
      </c>
      <c r="AQ191" s="7">
        <f t="shared" si="62"/>
        <v>6.944444444444442E-2</v>
      </c>
    </row>
    <row r="192" spans="1:43" x14ac:dyDescent="0.3">
      <c r="A192" s="4">
        <v>42419</v>
      </c>
      <c r="B192" s="3">
        <v>16391.990234000001</v>
      </c>
      <c r="C192" s="7">
        <f t="shared" si="42"/>
        <v>-1.3062141433898278E-3</v>
      </c>
      <c r="D192" s="3">
        <v>94.459496999999999</v>
      </c>
      <c r="E192" s="7">
        <f t="shared" si="43"/>
        <v>-2.2854924038834268E-3</v>
      </c>
      <c r="F192" s="3">
        <v>80.870002999999997</v>
      </c>
      <c r="G192" s="7">
        <f t="shared" si="44"/>
        <v>4.2220787808526783E-3</v>
      </c>
      <c r="H192" s="3">
        <v>51.14132</v>
      </c>
      <c r="I192" s="7">
        <f t="shared" si="45"/>
        <v>-7.0894584453491394E-3</v>
      </c>
      <c r="J192" s="3">
        <v>36.368226999999997</v>
      </c>
      <c r="K192" s="7">
        <f t="shared" si="46"/>
        <v>4.0949579441229567E-3</v>
      </c>
      <c r="L192" s="3">
        <v>76.331372000000002</v>
      </c>
      <c r="M192" s="7">
        <f t="shared" si="47"/>
        <v>1.1465771483207154E-2</v>
      </c>
      <c r="N192" s="3">
        <v>11.987377</v>
      </c>
      <c r="O192" s="7">
        <f t="shared" si="48"/>
        <v>-8.9868761647882156E-3</v>
      </c>
      <c r="P192" s="3">
        <v>38.680186999999997</v>
      </c>
      <c r="Q192" s="7">
        <f t="shared" si="49"/>
        <v>1.7986705719357232E-3</v>
      </c>
      <c r="R192" s="3">
        <v>5.5338830000000003</v>
      </c>
      <c r="S192" s="7">
        <f t="shared" si="50"/>
        <v>8.928678866198414E-3</v>
      </c>
      <c r="T192" s="3">
        <v>56.540700999999999</v>
      </c>
      <c r="U192" s="7">
        <f t="shared" si="51"/>
        <v>1.7294958773361735E-4</v>
      </c>
      <c r="V192" s="3">
        <v>46.953130999999999</v>
      </c>
      <c r="W192" s="7">
        <f t="shared" si="52"/>
        <v>7.5424382587727656E-3</v>
      </c>
      <c r="X192" s="3">
        <v>147.410347</v>
      </c>
      <c r="Y192" s="7">
        <f t="shared" si="53"/>
        <v>3.3638530556867607E-4</v>
      </c>
      <c r="Z192" s="3">
        <v>119.78674700000001</v>
      </c>
      <c r="AA192" s="7">
        <f t="shared" si="54"/>
        <v>1.4336927032154501E-2</v>
      </c>
      <c r="AB192" s="3">
        <v>7.32</v>
      </c>
      <c r="AC192" s="7">
        <f t="shared" si="55"/>
        <v>-4.0629095674967197E-2</v>
      </c>
      <c r="AD192" s="3">
        <v>70.605016000000006</v>
      </c>
      <c r="AE192" s="7">
        <f t="shared" si="56"/>
        <v>-2.895338210184395E-3</v>
      </c>
      <c r="AF192" s="3">
        <v>63.285091999999999</v>
      </c>
      <c r="AG192" s="7">
        <f t="shared" si="57"/>
        <v>8.421731377842967E-3</v>
      </c>
      <c r="AH192" s="3">
        <v>13.856545000000001</v>
      </c>
      <c r="AI192" s="7">
        <f t="shared" si="58"/>
        <v>-4.8681546177705259E-2</v>
      </c>
      <c r="AJ192" s="3">
        <v>80.408662000000007</v>
      </c>
      <c r="AK192" s="7">
        <f t="shared" si="59"/>
        <v>6.0647143950842697E-4</v>
      </c>
      <c r="AL192" s="3">
        <v>3.15</v>
      </c>
      <c r="AM192" s="7">
        <f t="shared" si="60"/>
        <v>-2.4767801857585203E-2</v>
      </c>
      <c r="AN192" s="3">
        <v>0.38</v>
      </c>
      <c r="AO192" s="7">
        <f t="shared" si="61"/>
        <v>0</v>
      </c>
      <c r="AP192" s="3">
        <v>4.32</v>
      </c>
      <c r="AQ192" s="7">
        <f t="shared" si="62"/>
        <v>-8.6680761099365733E-2</v>
      </c>
    </row>
    <row r="193" spans="1:43" x14ac:dyDescent="0.3">
      <c r="A193" s="4">
        <v>42418</v>
      </c>
      <c r="B193" s="3">
        <v>16413.429688</v>
      </c>
      <c r="C193" s="7">
        <f t="shared" si="42"/>
        <v>-2.4553790703124578E-3</v>
      </c>
      <c r="D193" s="3">
        <v>94.675877999999997</v>
      </c>
      <c r="E193" s="7">
        <f t="shared" si="43"/>
        <v>-1.8956384650873348E-2</v>
      </c>
      <c r="F193" s="3">
        <v>80.529999000000004</v>
      </c>
      <c r="G193" s="7">
        <f t="shared" si="44"/>
        <v>-1.6127049874820942E-2</v>
      </c>
      <c r="H193" s="3">
        <v>51.506473</v>
      </c>
      <c r="I193" s="7">
        <f t="shared" si="45"/>
        <v>-4.387624566383197E-3</v>
      </c>
      <c r="J193" s="3">
        <v>36.219907999999997</v>
      </c>
      <c r="K193" s="7">
        <f t="shared" si="46"/>
        <v>0</v>
      </c>
      <c r="L193" s="3">
        <v>75.466094999999996</v>
      </c>
      <c r="M193" s="7">
        <f t="shared" si="47"/>
        <v>-2.604729790285365E-4</v>
      </c>
      <c r="N193" s="3">
        <v>12.096083</v>
      </c>
      <c r="O193" s="7">
        <f t="shared" si="48"/>
        <v>-2.5477749084961698E-2</v>
      </c>
      <c r="P193" s="3">
        <v>38.610739000000002</v>
      </c>
      <c r="Q193" s="7">
        <f t="shared" si="49"/>
        <v>-2.1618919323393881E-2</v>
      </c>
      <c r="R193" s="3">
        <v>5.4849100000000002</v>
      </c>
      <c r="S193" s="7">
        <f t="shared" si="50"/>
        <v>1.4492780429086638E-2</v>
      </c>
      <c r="T193" s="3">
        <v>56.530923999999999</v>
      </c>
      <c r="U193" s="7">
        <f t="shared" si="51"/>
        <v>-1.6334838950387787E-2</v>
      </c>
      <c r="V193" s="3">
        <v>46.601641000000001</v>
      </c>
      <c r="W193" s="7">
        <f t="shared" si="52"/>
        <v>-8.3108498080934901E-3</v>
      </c>
      <c r="X193" s="3">
        <v>147.36077700000001</v>
      </c>
      <c r="Y193" s="7">
        <f t="shared" si="53"/>
        <v>-1.4975877263432968E-2</v>
      </c>
      <c r="Z193" s="3">
        <v>118.093647</v>
      </c>
      <c r="AA193" s="7">
        <f t="shared" si="54"/>
        <v>-1.0230161022424689E-2</v>
      </c>
      <c r="AB193" s="3">
        <v>7.63</v>
      </c>
      <c r="AC193" s="7">
        <f t="shared" si="55"/>
        <v>-2.5542784163473886E-2</v>
      </c>
      <c r="AD193" s="3">
        <v>70.810034999999999</v>
      </c>
      <c r="AE193" s="7">
        <f t="shared" si="56"/>
        <v>5.9639382918925676E-3</v>
      </c>
      <c r="AF193" s="3">
        <v>62.756573000000003</v>
      </c>
      <c r="AG193" s="7">
        <f t="shared" si="57"/>
        <v>-3.010131203734101E-2</v>
      </c>
      <c r="AH193" s="3">
        <v>14.565621999999999</v>
      </c>
      <c r="AI193" s="7">
        <f t="shared" si="58"/>
        <v>3.8623596206665001E-2</v>
      </c>
      <c r="AJ193" s="3">
        <v>80.359926000000002</v>
      </c>
      <c r="AK193" s="7">
        <f t="shared" si="59"/>
        <v>5.4877711253475958E-3</v>
      </c>
      <c r="AL193" s="3">
        <v>3.23</v>
      </c>
      <c r="AM193" s="7">
        <f t="shared" si="60"/>
        <v>-4.9999999999999933E-2</v>
      </c>
      <c r="AN193" s="3">
        <v>0.38</v>
      </c>
      <c r="AO193" s="7">
        <f t="shared" si="61"/>
        <v>-7.3170731707317027E-2</v>
      </c>
      <c r="AP193" s="3">
        <v>4.7300000000000004</v>
      </c>
      <c r="AQ193" s="7">
        <f t="shared" si="62"/>
        <v>-0.11918063314711358</v>
      </c>
    </row>
    <row r="194" spans="1:43" x14ac:dyDescent="0.3">
      <c r="A194" s="4">
        <v>42417</v>
      </c>
      <c r="B194" s="3">
        <v>16453.830077999999</v>
      </c>
      <c r="C194" s="7">
        <f t="shared" si="42"/>
        <v>1.5893640598169112E-2</v>
      </c>
      <c r="D194" s="3">
        <v>96.505268999999998</v>
      </c>
      <c r="E194" s="7">
        <f t="shared" si="43"/>
        <v>1.5314600619874108E-2</v>
      </c>
      <c r="F194" s="3">
        <v>81.849997999999999</v>
      </c>
      <c r="G194" s="7">
        <f t="shared" si="44"/>
        <v>3.7652143926932391E-2</v>
      </c>
      <c r="H194" s="3">
        <v>51.733460000000001</v>
      </c>
      <c r="I194" s="7">
        <f t="shared" si="45"/>
        <v>2.6032448738846803E-2</v>
      </c>
      <c r="J194" s="3">
        <v>36.219907999999997</v>
      </c>
      <c r="K194" s="7">
        <f t="shared" si="46"/>
        <v>2.605041540699915E-2</v>
      </c>
      <c r="L194" s="3">
        <v>75.485757000000007</v>
      </c>
      <c r="M194" s="7">
        <f t="shared" si="47"/>
        <v>1.359913189465245E-2</v>
      </c>
      <c r="N194" s="3">
        <v>12.412321</v>
      </c>
      <c r="O194" s="7">
        <f t="shared" si="48"/>
        <v>2.5306117661324956E-2</v>
      </c>
      <c r="P194" s="3">
        <v>39.463906000000001</v>
      </c>
      <c r="Q194" s="7">
        <f t="shared" si="49"/>
        <v>2.2885033580926084E-2</v>
      </c>
      <c r="R194" s="3">
        <v>5.4065539999999999</v>
      </c>
      <c r="S194" s="7">
        <f t="shared" si="50"/>
        <v>-1.428574033119967E-2</v>
      </c>
      <c r="T194" s="3">
        <v>57.469681999999999</v>
      </c>
      <c r="U194" s="7">
        <f t="shared" si="51"/>
        <v>7.1979739277816535E-3</v>
      </c>
      <c r="V194" s="3">
        <v>46.992185999999997</v>
      </c>
      <c r="W194" s="7">
        <f t="shared" si="52"/>
        <v>-2.2802748202501721E-3</v>
      </c>
      <c r="X194" s="3">
        <v>149.60118600000001</v>
      </c>
      <c r="Y194" s="7">
        <f t="shared" si="53"/>
        <v>1.2071645932193675E-2</v>
      </c>
      <c r="Z194" s="3">
        <v>119.314251</v>
      </c>
      <c r="AA194" s="7">
        <f t="shared" si="54"/>
        <v>1.4904124153422904E-2</v>
      </c>
      <c r="AB194" s="3">
        <v>7.83</v>
      </c>
      <c r="AC194" s="7">
        <f t="shared" si="55"/>
        <v>5.5256064690027085E-2</v>
      </c>
      <c r="AD194" s="3">
        <v>70.390231999999997</v>
      </c>
      <c r="AE194" s="7">
        <f t="shared" si="56"/>
        <v>8.3915983535778338E-3</v>
      </c>
      <c r="AF194" s="3">
        <v>64.704256000000001</v>
      </c>
      <c r="AG194" s="7">
        <f t="shared" si="57"/>
        <v>3.1866367832837916E-3</v>
      </c>
      <c r="AH194" s="3">
        <v>14.023966</v>
      </c>
      <c r="AI194" s="7">
        <f t="shared" si="58"/>
        <v>2.816889725556937E-3</v>
      </c>
      <c r="AJ194" s="3">
        <v>79.921335999999997</v>
      </c>
      <c r="AK194" s="7">
        <f t="shared" si="59"/>
        <v>9.6035288034743704E-3</v>
      </c>
      <c r="AL194" s="3">
        <v>3.4</v>
      </c>
      <c r="AM194" s="7">
        <f t="shared" si="60"/>
        <v>0.11111111111111116</v>
      </c>
      <c r="AN194" s="3">
        <v>0.41</v>
      </c>
      <c r="AO194" s="7">
        <f t="shared" si="61"/>
        <v>5.12820512820511E-2</v>
      </c>
      <c r="AP194" s="3">
        <v>5.37</v>
      </c>
      <c r="AQ194" s="7">
        <f t="shared" si="62"/>
        <v>0.12815126050420167</v>
      </c>
    </row>
    <row r="195" spans="1:43" x14ac:dyDescent="0.3">
      <c r="A195" s="4">
        <v>42416</v>
      </c>
      <c r="B195" s="3">
        <v>16196.410156</v>
      </c>
      <c r="C195" s="7">
        <f t="shared" si="42"/>
        <v>1.3933425787012732E-2</v>
      </c>
      <c r="D195" s="3">
        <v>95.049621999999999</v>
      </c>
      <c r="E195" s="7">
        <f t="shared" si="43"/>
        <v>2.8194514622650102E-2</v>
      </c>
      <c r="F195" s="3">
        <v>78.879997000000003</v>
      </c>
      <c r="G195" s="7">
        <f t="shared" si="44"/>
        <v>2.8824821411890467E-2</v>
      </c>
      <c r="H195" s="3">
        <v>50.420881000000001</v>
      </c>
      <c r="I195" s="7">
        <f t="shared" si="45"/>
        <v>1.8946907872500418E-2</v>
      </c>
      <c r="J195" s="3">
        <v>35.300319999999999</v>
      </c>
      <c r="K195" s="7">
        <f t="shared" si="46"/>
        <v>4.5019776984940307E-3</v>
      </c>
      <c r="L195" s="3">
        <v>74.472988999999998</v>
      </c>
      <c r="M195" s="7">
        <f t="shared" si="47"/>
        <v>2.7958705849309817E-2</v>
      </c>
      <c r="N195" s="3">
        <v>12.105966</v>
      </c>
      <c r="O195" s="7">
        <f t="shared" si="48"/>
        <v>2.5104634043138008E-2</v>
      </c>
      <c r="P195" s="3">
        <v>38.580978999999999</v>
      </c>
      <c r="Q195" s="7">
        <f t="shared" si="49"/>
        <v>3.5961589087159851E-2</v>
      </c>
      <c r="R195" s="3">
        <v>5.4849100000000002</v>
      </c>
      <c r="S195" s="7">
        <f t="shared" si="50"/>
        <v>2.5640881800101267E-2</v>
      </c>
      <c r="T195" s="3">
        <v>57.058973000000002</v>
      </c>
      <c r="U195" s="7">
        <f t="shared" si="51"/>
        <v>1.4959068984377266E-2</v>
      </c>
      <c r="V195" s="3">
        <v>47.099586000000002</v>
      </c>
      <c r="W195" s="7">
        <f t="shared" si="52"/>
        <v>1.9657590775598477E-2</v>
      </c>
      <c r="X195" s="3">
        <v>147.81679399999999</v>
      </c>
      <c r="Y195" s="7">
        <f t="shared" si="53"/>
        <v>3.0945615874431454E-3</v>
      </c>
      <c r="Z195" s="3">
        <v>117.562091</v>
      </c>
      <c r="AA195" s="7">
        <f t="shared" si="54"/>
        <v>2.6736588897964486E-2</v>
      </c>
      <c r="AB195" s="3">
        <v>7.42</v>
      </c>
      <c r="AC195" s="7">
        <f t="shared" si="55"/>
        <v>6.1516452074392047E-2</v>
      </c>
      <c r="AD195" s="3">
        <v>69.804461000000003</v>
      </c>
      <c r="AE195" s="7">
        <f t="shared" si="56"/>
        <v>2.2158721293800587E-2</v>
      </c>
      <c r="AF195" s="3">
        <v>64.498722000000001</v>
      </c>
      <c r="AG195" s="7">
        <f t="shared" si="57"/>
        <v>-4.2308675805065032E-3</v>
      </c>
      <c r="AH195" s="3">
        <v>13.984572999999999</v>
      </c>
      <c r="AI195" s="7">
        <f t="shared" si="58"/>
        <v>0.11285267505404684</v>
      </c>
      <c r="AJ195" s="3">
        <v>79.161109999999994</v>
      </c>
      <c r="AK195" s="7">
        <f t="shared" si="59"/>
        <v>2.3448411948936432E-3</v>
      </c>
      <c r="AL195" s="3">
        <v>3.06</v>
      </c>
      <c r="AM195" s="7">
        <f t="shared" si="60"/>
        <v>-1.9230769230769273E-2</v>
      </c>
      <c r="AN195" s="3">
        <v>0.39</v>
      </c>
      <c r="AO195" s="7">
        <f t="shared" si="61"/>
        <v>-2.5000000000000022E-2</v>
      </c>
      <c r="AP195" s="3">
        <v>4.76</v>
      </c>
      <c r="AQ195" s="7">
        <f t="shared" si="62"/>
        <v>5.7777777777777706E-2</v>
      </c>
    </row>
    <row r="196" spans="1:43" x14ac:dyDescent="0.3">
      <c r="A196" s="4">
        <v>42412</v>
      </c>
      <c r="B196" s="3">
        <v>15973.839844</v>
      </c>
      <c r="C196" s="7">
        <f t="shared" si="42"/>
        <v>2.0029154342357192E-2</v>
      </c>
      <c r="D196" s="3">
        <v>92.44323</v>
      </c>
      <c r="E196" s="7">
        <f t="shared" si="43"/>
        <v>3.0949889733937752E-3</v>
      </c>
      <c r="F196" s="3">
        <v>76.669998000000007</v>
      </c>
      <c r="G196" s="7">
        <f t="shared" si="44"/>
        <v>2.3085080782357048E-2</v>
      </c>
      <c r="H196" s="3">
        <v>49.483325000000001</v>
      </c>
      <c r="I196" s="7">
        <f t="shared" si="45"/>
        <v>1.6301109702415051E-2</v>
      </c>
      <c r="J196" s="3">
        <v>35.142111</v>
      </c>
      <c r="K196" s="7">
        <f t="shared" si="46"/>
        <v>2.0091844550824911E-2</v>
      </c>
      <c r="L196" s="3">
        <v>72.447451999999998</v>
      </c>
      <c r="M196" s="7">
        <f t="shared" si="47"/>
        <v>-8.2110690877772452E-3</v>
      </c>
      <c r="N196" s="3">
        <v>11.809493</v>
      </c>
      <c r="O196" s="7">
        <f t="shared" si="48"/>
        <v>7.0788505929303858E-2</v>
      </c>
      <c r="P196" s="3">
        <v>37.241708000000003</v>
      </c>
      <c r="Q196" s="7">
        <f t="shared" si="49"/>
        <v>7.3184729615958233E-2</v>
      </c>
      <c r="R196" s="3">
        <v>5.3477880000000004</v>
      </c>
      <c r="S196" s="7">
        <f t="shared" si="50"/>
        <v>-1.4440275532730973E-2</v>
      </c>
      <c r="T196" s="3">
        <v>56.218004000000001</v>
      </c>
      <c r="U196" s="7">
        <f t="shared" si="51"/>
        <v>8.3286263047468001E-2</v>
      </c>
      <c r="V196" s="3">
        <v>46.191571000000003</v>
      </c>
      <c r="W196" s="7">
        <f t="shared" si="52"/>
        <v>4.760852534281601E-2</v>
      </c>
      <c r="X196" s="3">
        <v>147.36077700000001</v>
      </c>
      <c r="Y196" s="7">
        <f t="shared" si="53"/>
        <v>1.3637911668456626E-2</v>
      </c>
      <c r="Z196" s="3">
        <v>114.500732</v>
      </c>
      <c r="AA196" s="7">
        <f t="shared" si="54"/>
        <v>2.6926845275517808E-2</v>
      </c>
      <c r="AB196" s="3">
        <v>6.99</v>
      </c>
      <c r="AC196" s="7">
        <f t="shared" si="55"/>
        <v>0</v>
      </c>
      <c r="AD196" s="3">
        <v>68.291214999999994</v>
      </c>
      <c r="AE196" s="7">
        <f t="shared" si="56"/>
        <v>3.644976754737872E-2</v>
      </c>
      <c r="AF196" s="3">
        <v>64.772767000000002</v>
      </c>
      <c r="AG196" s="7">
        <f t="shared" si="57"/>
        <v>1.3165949055055526E-2</v>
      </c>
      <c r="AH196" s="3">
        <v>12.566419</v>
      </c>
      <c r="AI196" s="7">
        <f t="shared" si="58"/>
        <v>7.226890713279932E-2</v>
      </c>
      <c r="AJ196" s="3">
        <v>78.975924000000006</v>
      </c>
      <c r="AK196" s="7">
        <f t="shared" si="59"/>
        <v>1.7964822692388305E-2</v>
      </c>
      <c r="AL196" s="3">
        <v>3.12</v>
      </c>
      <c r="AM196" s="7">
        <f t="shared" si="60"/>
        <v>7.5862068965517393E-2</v>
      </c>
      <c r="AN196" s="3">
        <v>0.4</v>
      </c>
      <c r="AO196" s="7">
        <f t="shared" si="61"/>
        <v>-4.7619047619047561E-2</v>
      </c>
      <c r="AP196" s="3">
        <v>4.5</v>
      </c>
      <c r="AQ196" s="7">
        <f t="shared" si="62"/>
        <v>-8.3503054989816694E-2</v>
      </c>
    </row>
    <row r="197" spans="1:43" x14ac:dyDescent="0.3">
      <c r="A197" s="4">
        <v>42411</v>
      </c>
      <c r="B197" s="3">
        <v>15660.179688</v>
      </c>
      <c r="C197" s="7">
        <f t="shared" si="42"/>
        <v>-1.5995268679042662E-2</v>
      </c>
      <c r="D197" s="3">
        <v>92.158001999999996</v>
      </c>
      <c r="E197" s="7">
        <f t="shared" si="43"/>
        <v>-6.0464553285364264E-3</v>
      </c>
      <c r="F197" s="3">
        <v>74.940002000000007</v>
      </c>
      <c r="G197" s="7">
        <f t="shared" si="44"/>
        <v>-7.8114260268955515E-3</v>
      </c>
      <c r="H197" s="3">
        <v>48.689630000000001</v>
      </c>
      <c r="I197" s="7">
        <f t="shared" si="45"/>
        <v>-4.0234675860606472E-4</v>
      </c>
      <c r="J197" s="3">
        <v>34.449947999999999</v>
      </c>
      <c r="K197" s="7">
        <f t="shared" si="46"/>
        <v>-1.0227283762491157E-2</v>
      </c>
      <c r="L197" s="3">
        <v>73.047247999999996</v>
      </c>
      <c r="M197" s="7">
        <f t="shared" si="47"/>
        <v>-8.8058132384377652E-3</v>
      </c>
      <c r="N197" s="3">
        <v>11.028782</v>
      </c>
      <c r="O197" s="7">
        <f t="shared" si="48"/>
        <v>-6.8447370332642476E-2</v>
      </c>
      <c r="P197" s="3">
        <v>34.702047999999998</v>
      </c>
      <c r="Q197" s="7">
        <f t="shared" si="49"/>
        <v>-6.4955890213330814E-2</v>
      </c>
      <c r="R197" s="3">
        <v>5.4261429999999997</v>
      </c>
      <c r="S197" s="7">
        <f t="shared" si="50"/>
        <v>-5.2991462836566638E-2</v>
      </c>
      <c r="T197" s="3">
        <v>51.895797000000002</v>
      </c>
      <c r="U197" s="7">
        <f t="shared" si="51"/>
        <v>-4.4128252644654475E-2</v>
      </c>
      <c r="V197" s="3">
        <v>44.092396999999998</v>
      </c>
      <c r="W197" s="7">
        <f t="shared" si="52"/>
        <v>-2.1875630427779513E-2</v>
      </c>
      <c r="X197" s="3">
        <v>145.37812299999999</v>
      </c>
      <c r="Y197" s="7">
        <f t="shared" si="53"/>
        <v>-9.4563256787215666E-3</v>
      </c>
      <c r="Z197" s="3">
        <v>111.498431</v>
      </c>
      <c r="AA197" s="7">
        <f t="shared" si="54"/>
        <v>-9.2714570253497053E-3</v>
      </c>
      <c r="AB197" s="3">
        <v>6.99</v>
      </c>
      <c r="AC197" s="7">
        <f t="shared" si="55"/>
        <v>-6.675567423230977E-2</v>
      </c>
      <c r="AD197" s="3">
        <v>65.889555999999999</v>
      </c>
      <c r="AE197" s="7">
        <f t="shared" si="56"/>
        <v>-1.0325755973375483E-2</v>
      </c>
      <c r="AF197" s="3">
        <v>63.931054000000003</v>
      </c>
      <c r="AG197" s="7">
        <f t="shared" si="57"/>
        <v>-7.1439574508640469E-3</v>
      </c>
      <c r="AH197" s="3">
        <v>11.719466000000001</v>
      </c>
      <c r="AI197" s="7">
        <f t="shared" si="58"/>
        <v>-6.0031588227594357E-2</v>
      </c>
      <c r="AJ197" s="3">
        <v>77.582173999999995</v>
      </c>
      <c r="AK197" s="7">
        <f t="shared" si="59"/>
        <v>3.150603714105582E-3</v>
      </c>
      <c r="AL197" s="3">
        <v>2.9</v>
      </c>
      <c r="AM197" s="7">
        <f t="shared" si="60"/>
        <v>-5.5374592833876246E-2</v>
      </c>
      <c r="AN197" s="3">
        <v>0.42</v>
      </c>
      <c r="AO197" s="7">
        <f t="shared" si="61"/>
        <v>0.10526315789473673</v>
      </c>
      <c r="AP197" s="3">
        <v>4.91</v>
      </c>
      <c r="AQ197" s="7">
        <f t="shared" si="62"/>
        <v>-8.0524344569288364E-2</v>
      </c>
    </row>
    <row r="198" spans="1:43" x14ac:dyDescent="0.3">
      <c r="A198" s="4">
        <v>42410</v>
      </c>
      <c r="B198" s="3">
        <v>15914.740234000001</v>
      </c>
      <c r="C198" s="7">
        <f t="shared" ref="C198:C254" si="63">B198/B199-1</f>
        <v>-6.2218861877861853E-3</v>
      </c>
      <c r="D198" s="3">
        <v>92.718620999999999</v>
      </c>
      <c r="E198" s="7">
        <f t="shared" ref="E198:E254" si="64">D198/D199-1</f>
        <v>-7.579765089609114E-3</v>
      </c>
      <c r="F198" s="3">
        <v>75.529999000000004</v>
      </c>
      <c r="G198" s="7">
        <f t="shared" ref="G198:G254" si="65">F198/F199-1</f>
        <v>2.2748829322920328E-2</v>
      </c>
      <c r="H198" s="3">
        <v>48.709228000000003</v>
      </c>
      <c r="I198" s="7">
        <f t="shared" ref="I198:I254" si="66">H198/H199-1</f>
        <v>8.7256461946925157E-3</v>
      </c>
      <c r="J198" s="3">
        <v>34.805917999999998</v>
      </c>
      <c r="K198" s="7">
        <f t="shared" ref="K198:K254" si="67">J198/J199-1</f>
        <v>3.4207369840837387E-3</v>
      </c>
      <c r="L198" s="3">
        <v>73.696202999999997</v>
      </c>
      <c r="M198" s="7">
        <f t="shared" ref="M198:M254" si="68">L198/L199-1</f>
        <v>9.3481534551509426E-4</v>
      </c>
      <c r="N198" s="3">
        <v>11.83914</v>
      </c>
      <c r="O198" s="7">
        <f t="shared" ref="O198:O254" si="69">N198/N199-1</f>
        <v>-1.803276608164861E-2</v>
      </c>
      <c r="P198" s="3">
        <v>37.112738999999998</v>
      </c>
      <c r="Q198" s="7">
        <f t="shared" ref="Q198:Q254" si="70">P198/P199-1</f>
        <v>-2.6659183047764712E-3</v>
      </c>
      <c r="R198" s="3">
        <v>5.7297719999999996</v>
      </c>
      <c r="S198" s="7">
        <f t="shared" ref="S198:S254" si="71">R198/R199-1</f>
        <v>-5.1021364936112423E-3</v>
      </c>
      <c r="T198" s="3">
        <v>54.291589999999999</v>
      </c>
      <c r="U198" s="7">
        <f t="shared" ref="U198:U254" si="72">T198/T199-1</f>
        <v>-1.2099650733138345E-2</v>
      </c>
      <c r="V198" s="3">
        <v>45.078518000000003</v>
      </c>
      <c r="W198" s="7">
        <f t="shared" ref="W198:W254" si="73">V198/V199-1</f>
        <v>-6.0280603005360422E-3</v>
      </c>
      <c r="X198" s="3">
        <v>146.76598999999999</v>
      </c>
      <c r="Y198" s="7">
        <f t="shared" ref="Y198:Y254" si="74">X198/X199-1</f>
        <v>3.4567043572713008E-3</v>
      </c>
      <c r="Z198" s="3">
        <v>112.541858</v>
      </c>
      <c r="AA198" s="7">
        <f t="shared" ref="AA198:AA254" si="75">Z198/Z199-1</f>
        <v>4.1278842727012766E-3</v>
      </c>
      <c r="AB198" s="3">
        <v>7.49</v>
      </c>
      <c r="AC198" s="7">
        <f t="shared" ref="AC198:AC254" si="76">AB198/AB199-1</f>
        <v>1.3531799729364025E-2</v>
      </c>
      <c r="AD198" s="3">
        <v>66.577014000000005</v>
      </c>
      <c r="AE198" s="7">
        <f t="shared" ref="AE198:AE254" si="77">AD198/AD199-1</f>
        <v>-1.5745758299307244E-2</v>
      </c>
      <c r="AF198" s="3">
        <v>64.391060999999993</v>
      </c>
      <c r="AG198" s="7">
        <f t="shared" ref="AG198:AG254" si="78">AF198/AF199-1</f>
        <v>-3.0384735240629457E-4</v>
      </c>
      <c r="AH198" s="3">
        <v>12.467936</v>
      </c>
      <c r="AI198" s="7">
        <f t="shared" ref="AI198:AI254" si="79">AH198/AH199-1</f>
        <v>-0.14169492990920085</v>
      </c>
      <c r="AJ198" s="3">
        <v>77.338510999999997</v>
      </c>
      <c r="AK198" s="7">
        <f t="shared" ref="AK198:AK254" si="80">AJ198/AJ199-1</f>
        <v>-9.1159246374975522E-3</v>
      </c>
      <c r="AL198" s="3">
        <v>3.07</v>
      </c>
      <c r="AM198" s="7">
        <f t="shared" ref="AM198:AM254" si="81">AL198/AL199-1</f>
        <v>2.6755852842809347E-2</v>
      </c>
      <c r="AN198" s="3">
        <v>0.38</v>
      </c>
      <c r="AO198" s="7">
        <f t="shared" ref="AO198:AO254" si="82">AN198/AN199-1</f>
        <v>-2.5641025641025661E-2</v>
      </c>
      <c r="AP198" s="3">
        <v>5.34</v>
      </c>
      <c r="AQ198" s="7">
        <f t="shared" ref="AQ198:AQ254" si="83">AP198/AP199-1</f>
        <v>-5.6537102473498302E-2</v>
      </c>
    </row>
    <row r="199" spans="1:43" x14ac:dyDescent="0.3">
      <c r="A199" s="4">
        <v>42409</v>
      </c>
      <c r="B199" s="3">
        <v>16014.379883</v>
      </c>
      <c r="C199" s="7">
        <f t="shared" si="63"/>
        <v>-7.9053363870174032E-4</v>
      </c>
      <c r="D199" s="3">
        <v>93.426773999999995</v>
      </c>
      <c r="E199" s="7">
        <f t="shared" si="64"/>
        <v>-2.1054839654743862E-4</v>
      </c>
      <c r="F199" s="3">
        <v>73.849997999999999</v>
      </c>
      <c r="G199" s="7">
        <f t="shared" si="65"/>
        <v>-1.4545022296636789E-2</v>
      </c>
      <c r="H199" s="3">
        <v>48.287885000000003</v>
      </c>
      <c r="I199" s="7">
        <f t="shared" si="66"/>
        <v>-2.6310707888455021E-3</v>
      </c>
      <c r="J199" s="3">
        <v>34.687261999999997</v>
      </c>
      <c r="K199" s="7">
        <f t="shared" si="67"/>
        <v>-1.4883420894645671E-2</v>
      </c>
      <c r="L199" s="3">
        <v>73.627375000000001</v>
      </c>
      <c r="M199" s="7">
        <f t="shared" si="68"/>
        <v>7.670572082492777E-3</v>
      </c>
      <c r="N199" s="3">
        <v>12.056552999999999</v>
      </c>
      <c r="O199" s="7">
        <f t="shared" si="69"/>
        <v>-5.7050581115482002E-3</v>
      </c>
      <c r="P199" s="3">
        <v>37.211942999999998</v>
      </c>
      <c r="Q199" s="7">
        <f t="shared" si="70"/>
        <v>-7.9345099275084374E-3</v>
      </c>
      <c r="R199" s="3">
        <v>5.7591559999999999</v>
      </c>
      <c r="S199" s="7">
        <f t="shared" si="71"/>
        <v>-3.3898363745068494E-3</v>
      </c>
      <c r="T199" s="3">
        <v>54.956544999999998</v>
      </c>
      <c r="U199" s="7">
        <f t="shared" si="72"/>
        <v>-6.0134540630244482E-3</v>
      </c>
      <c r="V199" s="3">
        <v>45.351902000000003</v>
      </c>
      <c r="W199" s="7">
        <f t="shared" si="73"/>
        <v>-1.0752472884845155E-3</v>
      </c>
      <c r="X199" s="3">
        <v>146.260411</v>
      </c>
      <c r="Y199" s="7">
        <f t="shared" si="74"/>
        <v>6.2576376398137956E-3</v>
      </c>
      <c r="Z199" s="3">
        <v>112.07920799999999</v>
      </c>
      <c r="AA199" s="7">
        <f t="shared" si="75"/>
        <v>1.7970521915757764E-2</v>
      </c>
      <c r="AB199" s="3">
        <v>7.39</v>
      </c>
      <c r="AC199" s="7">
        <f t="shared" si="76"/>
        <v>2.7137042062415073E-3</v>
      </c>
      <c r="AD199" s="3">
        <v>67.642089999999996</v>
      </c>
      <c r="AE199" s="7">
        <f t="shared" si="77"/>
        <v>-1.9999809966837478E-3</v>
      </c>
      <c r="AF199" s="3">
        <v>64.410632000000007</v>
      </c>
      <c r="AG199" s="7">
        <f t="shared" si="78"/>
        <v>-1.6293042159745252E-2</v>
      </c>
      <c r="AH199" s="3">
        <v>14.526229000000001</v>
      </c>
      <c r="AI199" s="7">
        <f t="shared" si="79"/>
        <v>-0.20183980552143854</v>
      </c>
      <c r="AJ199" s="3">
        <v>78.050009000000003</v>
      </c>
      <c r="AK199" s="7">
        <f t="shared" si="80"/>
        <v>-4.3516143923260087E-3</v>
      </c>
      <c r="AL199" s="3">
        <v>2.99</v>
      </c>
      <c r="AM199" s="7">
        <f t="shared" si="81"/>
        <v>-4.166666666666663E-2</v>
      </c>
      <c r="AN199" s="3">
        <v>0.39</v>
      </c>
      <c r="AO199" s="7">
        <f t="shared" si="82"/>
        <v>0</v>
      </c>
      <c r="AP199" s="3">
        <v>5.66</v>
      </c>
      <c r="AQ199" s="7">
        <f t="shared" si="83"/>
        <v>-8.5621970920840118E-2</v>
      </c>
    </row>
    <row r="200" spans="1:43" x14ac:dyDescent="0.3">
      <c r="A200" s="4">
        <v>42408</v>
      </c>
      <c r="B200" s="3">
        <v>16027.049805000001</v>
      </c>
      <c r="C200" s="7">
        <f t="shared" si="63"/>
        <v>-1.0979343065575575E-2</v>
      </c>
      <c r="D200" s="3">
        <v>93.446449000000001</v>
      </c>
      <c r="E200" s="7">
        <f t="shared" si="64"/>
        <v>1.0529730622439892E-2</v>
      </c>
      <c r="F200" s="3">
        <v>74.940002000000007</v>
      </c>
      <c r="G200" s="7">
        <f t="shared" si="65"/>
        <v>-5.3787817693982887E-2</v>
      </c>
      <c r="H200" s="3">
        <v>48.415269000000002</v>
      </c>
      <c r="I200" s="7">
        <f t="shared" si="66"/>
        <v>-1.4952135769868757E-2</v>
      </c>
      <c r="J200" s="3">
        <v>35.211326999999997</v>
      </c>
      <c r="K200" s="7">
        <f t="shared" si="67"/>
        <v>-2.5210253051530795E-3</v>
      </c>
      <c r="L200" s="3">
        <v>73.066909999999993</v>
      </c>
      <c r="M200" s="7">
        <f t="shared" si="68"/>
        <v>-1.4456286516026484E-2</v>
      </c>
      <c r="N200" s="3">
        <v>12.125731</v>
      </c>
      <c r="O200" s="7">
        <f t="shared" si="69"/>
        <v>-5.2509604238562435E-2</v>
      </c>
      <c r="P200" s="3">
        <v>37.509563</v>
      </c>
      <c r="Q200" s="7">
        <f t="shared" si="70"/>
        <v>-5.1429962598947387E-2</v>
      </c>
      <c r="R200" s="3">
        <v>5.7787449999999998</v>
      </c>
      <c r="S200" s="7">
        <f t="shared" si="71"/>
        <v>-3.2786778236122971E-2</v>
      </c>
      <c r="T200" s="3">
        <v>55.289023</v>
      </c>
      <c r="U200" s="7">
        <f t="shared" si="72"/>
        <v>-2.0952361558110422E-2</v>
      </c>
      <c r="V200" s="3">
        <v>45.400719000000002</v>
      </c>
      <c r="W200" s="7">
        <f t="shared" si="73"/>
        <v>-2.8416214252488969E-2</v>
      </c>
      <c r="X200" s="3">
        <v>145.35085799999999</v>
      </c>
      <c r="Y200" s="7">
        <f t="shared" si="74"/>
        <v>2.1043121420614375E-2</v>
      </c>
      <c r="Z200" s="3">
        <v>110.10064199999999</v>
      </c>
      <c r="AA200" s="7">
        <f t="shared" si="75"/>
        <v>-3.9336958946998068E-2</v>
      </c>
      <c r="AB200" s="3">
        <v>7.37</v>
      </c>
      <c r="AC200" s="7">
        <f t="shared" si="76"/>
        <v>-4.0540540540541237E-3</v>
      </c>
      <c r="AD200" s="3">
        <v>67.777643999999995</v>
      </c>
      <c r="AE200" s="7">
        <f t="shared" si="77"/>
        <v>6.3255057106204049E-3</v>
      </c>
      <c r="AF200" s="3">
        <v>65.477458999999996</v>
      </c>
      <c r="AG200" s="7">
        <f t="shared" si="78"/>
        <v>-1.4925124815612367E-3</v>
      </c>
      <c r="AH200" s="3">
        <v>18.199641</v>
      </c>
      <c r="AI200" s="7">
        <f t="shared" si="79"/>
        <v>2.2689545619624774E-2</v>
      </c>
      <c r="AJ200" s="3">
        <v>78.391137000000001</v>
      </c>
      <c r="AK200" s="7">
        <f t="shared" si="80"/>
        <v>1.3486531729897333E-2</v>
      </c>
      <c r="AL200" s="3">
        <v>3.12</v>
      </c>
      <c r="AM200" s="7">
        <f t="shared" si="81"/>
        <v>-3.703703703703709E-2</v>
      </c>
      <c r="AN200" s="3">
        <v>0.39</v>
      </c>
      <c r="AO200" s="7">
        <f t="shared" si="82"/>
        <v>-2.5000000000000022E-2</v>
      </c>
      <c r="AP200" s="3">
        <v>6.19</v>
      </c>
      <c r="AQ200" s="7">
        <f t="shared" si="83"/>
        <v>-5.9270516717325195E-2</v>
      </c>
    </row>
    <row r="201" spans="1:43" x14ac:dyDescent="0.3">
      <c r="A201" s="4">
        <v>42405</v>
      </c>
      <c r="B201" s="3">
        <v>16204.969727</v>
      </c>
      <c r="C201" s="7">
        <f t="shared" si="63"/>
        <v>-1.2890038606980014E-2</v>
      </c>
      <c r="D201" s="3">
        <v>92.472735999999998</v>
      </c>
      <c r="E201" s="7">
        <f t="shared" si="64"/>
        <v>-2.6708089132124302E-2</v>
      </c>
      <c r="F201" s="3">
        <v>79.199996999999996</v>
      </c>
      <c r="G201" s="7">
        <f t="shared" si="65"/>
        <v>-8.2908799410504885E-2</v>
      </c>
      <c r="H201" s="3">
        <v>49.150168999999998</v>
      </c>
      <c r="I201" s="7">
        <f t="shared" si="66"/>
        <v>-3.5384619974052178E-2</v>
      </c>
      <c r="J201" s="3">
        <v>35.300319999999999</v>
      </c>
      <c r="K201" s="7">
        <f t="shared" si="67"/>
        <v>-2.0576121867859176E-2</v>
      </c>
      <c r="L201" s="3">
        <v>74.138679999999994</v>
      </c>
      <c r="M201" s="7">
        <f t="shared" si="68"/>
        <v>-3.6175396840460783E-2</v>
      </c>
      <c r="N201" s="3">
        <v>12.797734999999999</v>
      </c>
      <c r="O201" s="7">
        <f t="shared" si="69"/>
        <v>-2.2641537388133792E-2</v>
      </c>
      <c r="P201" s="3">
        <v>39.543272000000002</v>
      </c>
      <c r="Q201" s="7">
        <f t="shared" si="70"/>
        <v>-2.2799724894178031E-2</v>
      </c>
      <c r="R201" s="3">
        <v>5.974634</v>
      </c>
      <c r="S201" s="7">
        <f t="shared" si="71"/>
        <v>-1.6367476328986719E-3</v>
      </c>
      <c r="T201" s="3">
        <v>56.472250000000003</v>
      </c>
      <c r="U201" s="7">
        <f t="shared" si="72"/>
        <v>-1.1130164721604885E-2</v>
      </c>
      <c r="V201" s="3">
        <v>46.728568000000003</v>
      </c>
      <c r="W201" s="7">
        <f t="shared" si="73"/>
        <v>-8.0828968382240518E-3</v>
      </c>
      <c r="X201" s="3">
        <v>142.35525899999999</v>
      </c>
      <c r="Y201" s="7">
        <f t="shared" si="74"/>
        <v>4.9553800411290538E-3</v>
      </c>
      <c r="Z201" s="3">
        <v>114.60901200000001</v>
      </c>
      <c r="AA201" s="7">
        <f t="shared" si="75"/>
        <v>-3.8642557292901447E-2</v>
      </c>
      <c r="AB201" s="3">
        <v>7.4</v>
      </c>
      <c r="AC201" s="7">
        <f t="shared" si="76"/>
        <v>5.4347826086955653E-3</v>
      </c>
      <c r="AD201" s="3">
        <v>67.351611000000005</v>
      </c>
      <c r="AE201" s="7">
        <f t="shared" si="77"/>
        <v>-6.8532710573219191E-3</v>
      </c>
      <c r="AF201" s="3">
        <v>65.575331000000006</v>
      </c>
      <c r="AG201" s="7">
        <f t="shared" si="78"/>
        <v>8.7323398894119109E-3</v>
      </c>
      <c r="AH201" s="3">
        <v>17.795860999999999</v>
      </c>
      <c r="AI201" s="7">
        <f t="shared" si="79"/>
        <v>-7.333335520358697E-2</v>
      </c>
      <c r="AJ201" s="3">
        <v>77.347981000000004</v>
      </c>
      <c r="AK201" s="7">
        <f t="shared" si="80"/>
        <v>3.1316551611531018E-3</v>
      </c>
      <c r="AL201" s="3">
        <v>3.24</v>
      </c>
      <c r="AM201" s="7">
        <f t="shared" si="81"/>
        <v>-5.5393586005830886E-2</v>
      </c>
      <c r="AN201" s="3">
        <v>0.4</v>
      </c>
      <c r="AO201" s="7">
        <f t="shared" si="82"/>
        <v>-4.7619047619047561E-2</v>
      </c>
      <c r="AP201" s="3">
        <v>6.58</v>
      </c>
      <c r="AQ201" s="7">
        <f t="shared" si="83"/>
        <v>-8.1005586592178824E-2</v>
      </c>
    </row>
    <row r="202" spans="1:43" x14ac:dyDescent="0.3">
      <c r="A202" s="4">
        <v>42404</v>
      </c>
      <c r="B202" s="3">
        <v>16416.580077999999</v>
      </c>
      <c r="C202" s="7">
        <f t="shared" si="63"/>
        <v>4.8920600194186648E-3</v>
      </c>
      <c r="D202" s="3">
        <v>95.010278999999997</v>
      </c>
      <c r="E202" s="7">
        <f t="shared" si="64"/>
        <v>8.0351015443580476E-3</v>
      </c>
      <c r="F202" s="3">
        <v>86.360000999999997</v>
      </c>
      <c r="G202" s="7">
        <f t="shared" si="65"/>
        <v>-1.8524798693597022E-2</v>
      </c>
      <c r="H202" s="3">
        <v>50.953125999999997</v>
      </c>
      <c r="I202" s="7">
        <f t="shared" si="66"/>
        <v>-3.0674876034303411E-3</v>
      </c>
      <c r="J202" s="3">
        <v>36.041922999999997</v>
      </c>
      <c r="K202" s="7">
        <f t="shared" si="67"/>
        <v>2.1294526589786367E-2</v>
      </c>
      <c r="L202" s="3">
        <v>76.921340000000001</v>
      </c>
      <c r="M202" s="7">
        <f t="shared" si="68"/>
        <v>-1.0623457783767054E-2</v>
      </c>
      <c r="N202" s="3">
        <v>13.094208</v>
      </c>
      <c r="O202" s="7">
        <f t="shared" si="69"/>
        <v>1.6884171634647505E-2</v>
      </c>
      <c r="P202" s="3">
        <v>40.465882999999998</v>
      </c>
      <c r="Q202" s="7">
        <f t="shared" si="70"/>
        <v>1.0654132581092268E-2</v>
      </c>
      <c r="R202" s="3">
        <v>5.9844290000000004</v>
      </c>
      <c r="S202" s="7">
        <f t="shared" si="71"/>
        <v>2.1739082184172753E-2</v>
      </c>
      <c r="T202" s="3">
        <v>57.107869999999998</v>
      </c>
      <c r="U202" s="7">
        <f t="shared" si="72"/>
        <v>1.7244423436561185E-2</v>
      </c>
      <c r="V202" s="3">
        <v>47.109347999999997</v>
      </c>
      <c r="W202" s="7">
        <f t="shared" si="73"/>
        <v>1.3655490459941078E-2</v>
      </c>
      <c r="X202" s="3">
        <v>141.653313</v>
      </c>
      <c r="Y202" s="7">
        <f t="shared" si="74"/>
        <v>-2.331286967113877E-2</v>
      </c>
      <c r="Z202" s="3">
        <v>119.215816</v>
      </c>
      <c r="AA202" s="7">
        <f t="shared" si="75"/>
        <v>-2.1649573615209805E-2</v>
      </c>
      <c r="AB202" s="3">
        <v>7.36</v>
      </c>
      <c r="AC202" s="7">
        <f t="shared" si="76"/>
        <v>-4.7865459249676556E-2</v>
      </c>
      <c r="AD202" s="3">
        <v>67.816374999999994</v>
      </c>
      <c r="AE202" s="7">
        <f t="shared" si="77"/>
        <v>-3.4862880868844148E-2</v>
      </c>
      <c r="AF202" s="3">
        <v>65.007661999999996</v>
      </c>
      <c r="AG202" s="7">
        <f t="shared" si="78"/>
        <v>2.2634917673758359E-3</v>
      </c>
      <c r="AH202" s="3">
        <v>19.204167000000002</v>
      </c>
      <c r="AI202" s="7">
        <f t="shared" si="79"/>
        <v>-1.4653894289557434E-2</v>
      </c>
      <c r="AJ202" s="3">
        <v>77.10651</v>
      </c>
      <c r="AK202" s="7">
        <f t="shared" si="80"/>
        <v>1.72018182814071E-2</v>
      </c>
      <c r="AL202" s="3">
        <v>3.43</v>
      </c>
      <c r="AM202" s="7">
        <f t="shared" si="81"/>
        <v>9.5846645367412275E-2</v>
      </c>
      <c r="AN202" s="3">
        <v>0.42</v>
      </c>
      <c r="AO202" s="7">
        <f t="shared" si="82"/>
        <v>-4.5454545454545525E-2</v>
      </c>
      <c r="AP202" s="3">
        <v>7.16</v>
      </c>
      <c r="AQ202" s="7">
        <f t="shared" si="83"/>
        <v>6.8656716417910379E-2</v>
      </c>
    </row>
    <row r="203" spans="1:43" x14ac:dyDescent="0.3">
      <c r="A203" s="4">
        <v>42403</v>
      </c>
      <c r="B203" s="3">
        <v>16336.660156</v>
      </c>
      <c r="C203" s="7">
        <f t="shared" si="63"/>
        <v>1.1336222063887513E-2</v>
      </c>
      <c r="D203" s="3">
        <v>94.252947000000006</v>
      </c>
      <c r="E203" s="7">
        <f t="shared" si="64"/>
        <v>1.9792498569521921E-2</v>
      </c>
      <c r="F203" s="3">
        <v>87.989998</v>
      </c>
      <c r="G203" s="7">
        <f t="shared" si="65"/>
        <v>4.5481525144341894E-4</v>
      </c>
      <c r="H203" s="3">
        <v>51.109904999999998</v>
      </c>
      <c r="I203" s="7">
        <f t="shared" si="66"/>
        <v>-1.5849057344931916E-2</v>
      </c>
      <c r="J203" s="3">
        <v>35.290430000000001</v>
      </c>
      <c r="K203" s="7">
        <f t="shared" si="67"/>
        <v>9.6181189598880668E-3</v>
      </c>
      <c r="L203" s="3">
        <v>77.747285000000005</v>
      </c>
      <c r="M203" s="7">
        <f t="shared" si="68"/>
        <v>1.7500973530505615E-2</v>
      </c>
      <c r="N203" s="3">
        <v>12.876794</v>
      </c>
      <c r="O203" s="7">
        <f t="shared" si="69"/>
        <v>-1.5117126987140184E-2</v>
      </c>
      <c r="P203" s="3">
        <v>40.039299</v>
      </c>
      <c r="Q203" s="7">
        <f t="shared" si="70"/>
        <v>-1.4843578938233959E-3</v>
      </c>
      <c r="R203" s="3">
        <v>5.8571010000000001</v>
      </c>
      <c r="S203" s="7">
        <f t="shared" si="71"/>
        <v>-6.6443610698138089E-3</v>
      </c>
      <c r="T203" s="3">
        <v>56.139772000000001</v>
      </c>
      <c r="U203" s="7">
        <f t="shared" si="72"/>
        <v>6.6631725593908619E-3</v>
      </c>
      <c r="V203" s="3">
        <v>46.474713000000001</v>
      </c>
      <c r="W203" s="7">
        <f t="shared" si="73"/>
        <v>-1.7645312874131958E-2</v>
      </c>
      <c r="X203" s="3">
        <v>145.03448299999999</v>
      </c>
      <c r="Y203" s="7">
        <f t="shared" si="74"/>
        <v>-1.2121237632765847E-2</v>
      </c>
      <c r="Z203" s="3">
        <v>121.85390099999999</v>
      </c>
      <c r="AA203" s="7">
        <f t="shared" si="75"/>
        <v>-1.1814444497454168E-2</v>
      </c>
      <c r="AB203" s="3">
        <v>7.73</v>
      </c>
      <c r="AC203" s="7">
        <f t="shared" si="76"/>
        <v>3.6193029490616757E-2</v>
      </c>
      <c r="AD203" s="3">
        <v>70.266052000000002</v>
      </c>
      <c r="AE203" s="7">
        <f t="shared" si="77"/>
        <v>-1.0094085651128126E-2</v>
      </c>
      <c r="AF203" s="3">
        <v>64.860849999999999</v>
      </c>
      <c r="AG203" s="7">
        <f t="shared" si="78"/>
        <v>-8.8244641044203931E-3</v>
      </c>
      <c r="AH203" s="3">
        <v>19.489768000000002</v>
      </c>
      <c r="AI203" s="7">
        <f t="shared" si="79"/>
        <v>-1.6890119592780861E-2</v>
      </c>
      <c r="AJ203" s="3">
        <v>75.802567999999994</v>
      </c>
      <c r="AK203" s="7">
        <f t="shared" si="80"/>
        <v>5.2151860122731541E-2</v>
      </c>
      <c r="AL203" s="3">
        <v>3.13</v>
      </c>
      <c r="AM203" s="7">
        <f t="shared" si="81"/>
        <v>5.033557046979853E-2</v>
      </c>
      <c r="AN203" s="3">
        <v>0.44</v>
      </c>
      <c r="AO203" s="7">
        <f t="shared" si="82"/>
        <v>7.3170731707317138E-2</v>
      </c>
      <c r="AP203" s="3">
        <v>6.7</v>
      </c>
      <c r="AQ203" s="7">
        <f t="shared" si="83"/>
        <v>0.11480865224625636</v>
      </c>
    </row>
    <row r="204" spans="1:43" x14ac:dyDescent="0.3">
      <c r="A204" s="4">
        <v>42402</v>
      </c>
      <c r="B204" s="3">
        <v>16153.540039</v>
      </c>
      <c r="C204" s="7">
        <f t="shared" si="63"/>
        <v>-1.7972911391786695E-2</v>
      </c>
      <c r="D204" s="3">
        <v>92.423652000000004</v>
      </c>
      <c r="E204" s="7">
        <f t="shared" si="64"/>
        <v>-2.0221897296173741E-2</v>
      </c>
      <c r="F204" s="3">
        <v>87.949996999999996</v>
      </c>
      <c r="G204" s="7">
        <f t="shared" si="65"/>
        <v>-1.8524762654561266E-2</v>
      </c>
      <c r="H204" s="3">
        <v>51.932994000000001</v>
      </c>
      <c r="I204" s="7">
        <f t="shared" si="66"/>
        <v>-3.1255694635523468E-2</v>
      </c>
      <c r="J204" s="3">
        <v>34.954236000000002</v>
      </c>
      <c r="K204" s="7">
        <f t="shared" si="67"/>
        <v>-2.6707095055218733E-2</v>
      </c>
      <c r="L204" s="3">
        <v>76.410034999999993</v>
      </c>
      <c r="M204" s="7">
        <f t="shared" si="68"/>
        <v>-2.4968601795789858E-2</v>
      </c>
      <c r="N204" s="3">
        <v>13.074441999999999</v>
      </c>
      <c r="O204" s="7">
        <f t="shared" si="69"/>
        <v>-5.2292354372978522E-2</v>
      </c>
      <c r="P204" s="3">
        <v>40.098820000000003</v>
      </c>
      <c r="Q204" s="7">
        <f t="shared" si="70"/>
        <v>-4.8493451484658445E-2</v>
      </c>
      <c r="R204" s="3">
        <v>5.8962779999999997</v>
      </c>
      <c r="S204" s="7">
        <f t="shared" si="71"/>
        <v>-6.2305404943784004E-2</v>
      </c>
      <c r="T204" s="3">
        <v>55.768179000000003</v>
      </c>
      <c r="U204" s="7">
        <f t="shared" si="72"/>
        <v>-3.1090753796916504E-2</v>
      </c>
      <c r="V204" s="3">
        <v>47.309503999999997</v>
      </c>
      <c r="W204" s="7">
        <f t="shared" si="73"/>
        <v>-2.2226607425364753E-2</v>
      </c>
      <c r="X204" s="3">
        <v>146.81405100000001</v>
      </c>
      <c r="Y204" s="7">
        <f t="shared" si="74"/>
        <v>-1.8181813439776429E-2</v>
      </c>
      <c r="Z204" s="3">
        <v>123.310749</v>
      </c>
      <c r="AA204" s="7">
        <f t="shared" si="75"/>
        <v>-9.8016434591122747E-3</v>
      </c>
      <c r="AB204" s="3">
        <v>7.46</v>
      </c>
      <c r="AC204" s="7">
        <f t="shared" si="76"/>
        <v>0</v>
      </c>
      <c r="AD204" s="3">
        <v>70.982556000000002</v>
      </c>
      <c r="AE204" s="7">
        <f t="shared" si="77"/>
        <v>6.5906196733307443E-3</v>
      </c>
      <c r="AF204" s="3">
        <v>65.438308000000006</v>
      </c>
      <c r="AG204" s="7">
        <f t="shared" si="78"/>
        <v>-9.4814781491701083E-3</v>
      </c>
      <c r="AH204" s="3">
        <v>19.824608000000001</v>
      </c>
      <c r="AI204" s="7">
        <f t="shared" si="79"/>
        <v>-0.14303964768182775</v>
      </c>
      <c r="AJ204" s="3">
        <v>72.045272999999995</v>
      </c>
      <c r="AK204" s="7">
        <f t="shared" si="80"/>
        <v>-2.2283452449323726E-2</v>
      </c>
      <c r="AL204" s="3">
        <v>2.98</v>
      </c>
      <c r="AM204" s="7">
        <f t="shared" si="81"/>
        <v>-9.4224924012158096E-2</v>
      </c>
      <c r="AN204" s="3">
        <v>0.41</v>
      </c>
      <c r="AO204" s="7">
        <f t="shared" si="82"/>
        <v>-4.6511627906976827E-2</v>
      </c>
      <c r="AP204" s="3">
        <v>6.01</v>
      </c>
      <c r="AQ204" s="7">
        <f t="shared" si="83"/>
        <v>-9.7597597597597674E-2</v>
      </c>
    </row>
    <row r="205" spans="1:43" x14ac:dyDescent="0.3">
      <c r="A205" s="4">
        <v>42401</v>
      </c>
      <c r="B205" s="3">
        <v>16449.179688</v>
      </c>
      <c r="C205" s="7">
        <f t="shared" si="63"/>
        <v>-1.0397655932385952E-3</v>
      </c>
      <c r="D205" s="3">
        <v>94.331208000000004</v>
      </c>
      <c r="E205" s="7">
        <f t="shared" si="64"/>
        <v>-9.348634011863477E-3</v>
      </c>
      <c r="F205" s="3">
        <v>89.610000999999997</v>
      </c>
      <c r="G205" s="7">
        <f t="shared" si="65"/>
        <v>5.385437183398567E-3</v>
      </c>
      <c r="H205" s="3">
        <v>53.608567000000001</v>
      </c>
      <c r="I205" s="7">
        <f t="shared" si="66"/>
        <v>-6.8978263763502801E-3</v>
      </c>
      <c r="J205" s="3">
        <v>35.913378000000002</v>
      </c>
      <c r="K205" s="7">
        <f t="shared" si="67"/>
        <v>2.7537712140590642E-4</v>
      </c>
      <c r="L205" s="3">
        <v>78.366743</v>
      </c>
      <c r="M205" s="7">
        <f t="shared" si="68"/>
        <v>-1.2532199515969955E-3</v>
      </c>
      <c r="N205" s="3">
        <v>13.795859999999999</v>
      </c>
      <c r="O205" s="7">
        <f t="shared" si="69"/>
        <v>-1.2729803317550692E-2</v>
      </c>
      <c r="P205" s="3">
        <v>42.142453000000003</v>
      </c>
      <c r="Q205" s="7">
        <f t="shared" si="70"/>
        <v>-2.3485818893342891E-3</v>
      </c>
      <c r="R205" s="3">
        <v>6.2880580000000004</v>
      </c>
      <c r="S205" s="7">
        <f t="shared" si="71"/>
        <v>-3.4586450465975083E-2</v>
      </c>
      <c r="T205" s="3">
        <v>57.557690999999998</v>
      </c>
      <c r="U205" s="7">
        <f t="shared" si="72"/>
        <v>-1.0756291342240654E-2</v>
      </c>
      <c r="V205" s="3">
        <v>48.384937000000001</v>
      </c>
      <c r="W205" s="7">
        <f t="shared" si="73"/>
        <v>-5.7734667151386754E-3</v>
      </c>
      <c r="X205" s="3">
        <v>149.53282899999999</v>
      </c>
      <c r="Y205" s="7">
        <f t="shared" si="74"/>
        <v>8.6027644451980301E-4</v>
      </c>
      <c r="Z205" s="3">
        <v>124.531361</v>
      </c>
      <c r="AA205" s="7">
        <f t="shared" si="75"/>
        <v>5.9637415467717059E-3</v>
      </c>
      <c r="AB205" s="3">
        <v>7.46</v>
      </c>
      <c r="AC205" s="7">
        <f t="shared" si="76"/>
        <v>2.7548209366391241E-2</v>
      </c>
      <c r="AD205" s="3">
        <v>70.517799999999994</v>
      </c>
      <c r="AE205" s="7">
        <f t="shared" si="77"/>
        <v>5.6614717230958345E-3</v>
      </c>
      <c r="AF205" s="3">
        <v>66.064699000000005</v>
      </c>
      <c r="AG205" s="7">
        <f t="shared" si="78"/>
        <v>1.7179017856180812E-2</v>
      </c>
      <c r="AH205" s="3">
        <v>23.133635000000002</v>
      </c>
      <c r="AI205" s="7">
        <f t="shared" si="79"/>
        <v>9.8882338961452376E-3</v>
      </c>
      <c r="AJ205" s="3">
        <v>73.687280000000001</v>
      </c>
      <c r="AK205" s="7">
        <f t="shared" si="80"/>
        <v>-2.0038498787723347E-2</v>
      </c>
      <c r="AL205" s="3">
        <v>3.29</v>
      </c>
      <c r="AM205" s="7">
        <f t="shared" si="81"/>
        <v>-5.187319884726227E-2</v>
      </c>
      <c r="AN205" s="3">
        <v>0.43</v>
      </c>
      <c r="AO205" s="7">
        <f t="shared" si="82"/>
        <v>-4.4444444444444509E-2</v>
      </c>
      <c r="AP205" s="3">
        <v>6.66</v>
      </c>
      <c r="AQ205" s="7">
        <f t="shared" si="83"/>
        <v>-9.3877551020408068E-2</v>
      </c>
    </row>
    <row r="206" spans="1:43" x14ac:dyDescent="0.3">
      <c r="A206" s="4">
        <v>42398</v>
      </c>
      <c r="B206" s="3">
        <v>16466.300781000002</v>
      </c>
      <c r="C206" s="7">
        <f t="shared" si="63"/>
        <v>2.4683884747183527E-2</v>
      </c>
      <c r="D206" s="3">
        <v>95.221397999999994</v>
      </c>
      <c r="E206" s="7">
        <f t="shared" si="64"/>
        <v>3.4541398181836991E-2</v>
      </c>
      <c r="F206" s="3">
        <v>89.129997000000003</v>
      </c>
      <c r="G206" s="7">
        <f t="shared" si="65"/>
        <v>5.4543305296141931E-2</v>
      </c>
      <c r="H206" s="3">
        <v>53.980918000000003</v>
      </c>
      <c r="I206" s="7">
        <f t="shared" si="66"/>
        <v>5.820204375761584E-2</v>
      </c>
      <c r="J206" s="3">
        <v>35.903491000000002</v>
      </c>
      <c r="K206" s="7">
        <f t="shared" si="67"/>
        <v>2.7738454144836888E-2</v>
      </c>
      <c r="L206" s="3">
        <v>78.465076999999994</v>
      </c>
      <c r="M206" s="7">
        <f t="shared" si="68"/>
        <v>2.7027115112264077E-2</v>
      </c>
      <c r="N206" s="3">
        <v>13.973743000000001</v>
      </c>
      <c r="O206" s="7">
        <f t="shared" si="69"/>
        <v>4.5085022229219174E-2</v>
      </c>
      <c r="P206" s="3">
        <v>42.241661000000001</v>
      </c>
      <c r="Q206" s="7">
        <f t="shared" si="70"/>
        <v>5.422141173264361E-2</v>
      </c>
      <c r="R206" s="3">
        <v>6.513331</v>
      </c>
      <c r="S206" s="7">
        <f t="shared" si="71"/>
        <v>1.6819522692047784E-2</v>
      </c>
      <c r="T206" s="3">
        <v>58.183529999999998</v>
      </c>
      <c r="U206" s="7">
        <f t="shared" si="72"/>
        <v>3.8756996455514781E-2</v>
      </c>
      <c r="V206" s="3">
        <v>48.665908000000002</v>
      </c>
      <c r="W206" s="7">
        <f t="shared" si="73"/>
        <v>2.6778447730683608E-2</v>
      </c>
      <c r="X206" s="3">
        <v>149.40430000000001</v>
      </c>
      <c r="Y206" s="7">
        <f t="shared" si="74"/>
        <v>1.0227945762895985E-2</v>
      </c>
      <c r="Z206" s="3">
        <v>123.793091</v>
      </c>
      <c r="AA206" s="7">
        <f t="shared" si="75"/>
        <v>2.8459306483148872E-2</v>
      </c>
      <c r="AB206" s="3">
        <v>7.26</v>
      </c>
      <c r="AC206" s="7">
        <f t="shared" si="76"/>
        <v>6.4516129032258007E-2</v>
      </c>
      <c r="AD206" s="3">
        <v>70.120812999999998</v>
      </c>
      <c r="AE206" s="7">
        <f t="shared" si="77"/>
        <v>2.0143690781214474E-2</v>
      </c>
      <c r="AF206" s="3">
        <v>64.948939999999993</v>
      </c>
      <c r="AG206" s="7">
        <f t="shared" si="78"/>
        <v>3.3322941599436495E-2</v>
      </c>
      <c r="AH206" s="3">
        <v>22.907124</v>
      </c>
      <c r="AI206" s="7">
        <f t="shared" si="79"/>
        <v>4.3049379585457181E-2</v>
      </c>
      <c r="AJ206" s="3">
        <v>75.194056000000003</v>
      </c>
      <c r="AK206" s="7">
        <f t="shared" si="80"/>
        <v>1.1170280604183347E-2</v>
      </c>
      <c r="AL206" s="3">
        <v>3.47</v>
      </c>
      <c r="AM206" s="7">
        <f t="shared" si="81"/>
        <v>8.4375000000000089E-2</v>
      </c>
      <c r="AN206" s="3">
        <v>0.45</v>
      </c>
      <c r="AO206" s="7">
        <f t="shared" si="82"/>
        <v>0</v>
      </c>
      <c r="AP206" s="3">
        <v>7.35</v>
      </c>
      <c r="AQ206" s="7">
        <f t="shared" si="83"/>
        <v>8.0882352941176405E-2</v>
      </c>
    </row>
    <row r="207" spans="1:43" x14ac:dyDescent="0.3">
      <c r="A207" s="4">
        <v>42397</v>
      </c>
      <c r="B207" s="3">
        <v>16069.639648</v>
      </c>
      <c r="C207" s="7">
        <f t="shared" si="63"/>
        <v>7.8509831820072762E-3</v>
      </c>
      <c r="D207" s="3">
        <v>92.042134000000004</v>
      </c>
      <c r="E207" s="7">
        <f t="shared" si="64"/>
        <v>7.1718955920925254E-3</v>
      </c>
      <c r="F207" s="3">
        <v>84.519997000000004</v>
      </c>
      <c r="G207" s="7">
        <f t="shared" si="65"/>
        <v>-3.8892281411720964E-3</v>
      </c>
      <c r="H207" s="3">
        <v>51.011920000000003</v>
      </c>
      <c r="I207" s="7">
        <f t="shared" si="66"/>
        <v>1.6399844021073307E-2</v>
      </c>
      <c r="J207" s="3">
        <v>34.934463000000001</v>
      </c>
      <c r="K207" s="7">
        <f t="shared" si="67"/>
        <v>1.2030969232047273E-2</v>
      </c>
      <c r="L207" s="3">
        <v>76.400199999999998</v>
      </c>
      <c r="M207" s="7">
        <f t="shared" si="68"/>
        <v>-1.5084330734022267E-2</v>
      </c>
      <c r="N207" s="3">
        <v>13.370915</v>
      </c>
      <c r="O207" s="7">
        <f t="shared" si="69"/>
        <v>1.2724539446367755E-2</v>
      </c>
      <c r="P207" s="3">
        <v>40.06906</v>
      </c>
      <c r="Q207" s="7">
        <f t="shared" si="70"/>
        <v>-2.9622445267203368E-3</v>
      </c>
      <c r="R207" s="3">
        <v>6.4055920000000004</v>
      </c>
      <c r="S207" s="7">
        <f t="shared" si="71"/>
        <v>-6.8376042271602655E-2</v>
      </c>
      <c r="T207" s="3">
        <v>56.012647999999999</v>
      </c>
      <c r="U207" s="7">
        <f t="shared" si="72"/>
        <v>4.2075400391121676E-3</v>
      </c>
      <c r="V207" s="3">
        <v>47.396698000000001</v>
      </c>
      <c r="W207" s="7">
        <f t="shared" si="73"/>
        <v>7.206062663887014E-3</v>
      </c>
      <c r="X207" s="3">
        <v>147.891672</v>
      </c>
      <c r="Y207" s="7">
        <f t="shared" si="74"/>
        <v>1.2590543632758466E-2</v>
      </c>
      <c r="Z207" s="3">
        <v>120.367515</v>
      </c>
      <c r="AA207" s="7">
        <f t="shared" si="75"/>
        <v>5.8402444530549769E-3</v>
      </c>
      <c r="AB207" s="3">
        <v>6.82</v>
      </c>
      <c r="AC207" s="7">
        <f t="shared" si="76"/>
        <v>-1.5873015873015817E-2</v>
      </c>
      <c r="AD207" s="3">
        <v>68.736211999999995</v>
      </c>
      <c r="AE207" s="7">
        <f t="shared" si="77"/>
        <v>4.2438140891776222E-3</v>
      </c>
      <c r="AF207" s="3">
        <v>62.854444999999998</v>
      </c>
      <c r="AG207" s="7">
        <f t="shared" si="78"/>
        <v>4.2220516807538466E-3</v>
      </c>
      <c r="AH207" s="3">
        <v>21.961687000000001</v>
      </c>
      <c r="AI207" s="7">
        <f t="shared" si="79"/>
        <v>2.3875015163468571E-2</v>
      </c>
      <c r="AJ207" s="3">
        <v>74.363395999999995</v>
      </c>
      <c r="AK207" s="7">
        <f t="shared" si="80"/>
        <v>2.2579324522318034E-2</v>
      </c>
      <c r="AL207" s="3">
        <v>3.2</v>
      </c>
      <c r="AM207" s="7">
        <f t="shared" si="81"/>
        <v>2.2364217252396346E-2</v>
      </c>
      <c r="AN207" s="3">
        <v>0.45</v>
      </c>
      <c r="AO207" s="7">
        <f t="shared" si="82"/>
        <v>4.6511627906976827E-2</v>
      </c>
      <c r="AP207" s="3">
        <v>6.8</v>
      </c>
      <c r="AQ207" s="7">
        <f t="shared" si="83"/>
        <v>-3.8189533239038287E-2</v>
      </c>
    </row>
    <row r="208" spans="1:43" x14ac:dyDescent="0.3">
      <c r="A208" s="4">
        <v>42396</v>
      </c>
      <c r="B208" s="3">
        <v>15944.459961</v>
      </c>
      <c r="C208" s="7">
        <f t="shared" si="63"/>
        <v>-1.3779138512755917E-2</v>
      </c>
      <c r="D208" s="3">
        <v>91.386718000000002</v>
      </c>
      <c r="E208" s="7">
        <f t="shared" si="64"/>
        <v>-6.5706568246119867E-2</v>
      </c>
      <c r="F208" s="3">
        <v>84.849997999999999</v>
      </c>
      <c r="G208" s="7">
        <f t="shared" si="65"/>
        <v>-2.3477972418897153E-2</v>
      </c>
      <c r="H208" s="3">
        <v>50.188831</v>
      </c>
      <c r="I208" s="7">
        <f t="shared" si="66"/>
        <v>-1.820963275568388E-2</v>
      </c>
      <c r="J208" s="3">
        <v>34.519164000000004</v>
      </c>
      <c r="K208" s="7">
        <f t="shared" si="67"/>
        <v>-9.0831555242323336E-3</v>
      </c>
      <c r="L208" s="3">
        <v>77.570295999999999</v>
      </c>
      <c r="M208" s="7">
        <f t="shared" si="68"/>
        <v>-6.3342361223783783E-4</v>
      </c>
      <c r="N208" s="3">
        <v>13.202914</v>
      </c>
      <c r="O208" s="7">
        <f t="shared" si="69"/>
        <v>3.7564898111170919E-3</v>
      </c>
      <c r="P208" s="3">
        <v>40.188107000000002</v>
      </c>
      <c r="Q208" s="7">
        <f t="shared" si="70"/>
        <v>1.4815098716489672E-3</v>
      </c>
      <c r="R208" s="3">
        <v>6.8757270000000004</v>
      </c>
      <c r="S208" s="7">
        <f t="shared" si="71"/>
        <v>-5.6657322117946718E-3</v>
      </c>
      <c r="T208" s="3">
        <v>55.77796</v>
      </c>
      <c r="U208" s="7">
        <f t="shared" si="72"/>
        <v>-7.0078912768556378E-4</v>
      </c>
      <c r="V208" s="3">
        <v>47.057597999999999</v>
      </c>
      <c r="W208" s="7">
        <f t="shared" si="73"/>
        <v>6.4235599826765188E-3</v>
      </c>
      <c r="X208" s="3">
        <v>146.05278799999999</v>
      </c>
      <c r="Y208" s="7">
        <f t="shared" si="74"/>
        <v>-5.1852189542812566E-3</v>
      </c>
      <c r="Z208" s="3">
        <v>119.668621</v>
      </c>
      <c r="AA208" s="7">
        <f t="shared" si="75"/>
        <v>-5.1554606949368864E-3</v>
      </c>
      <c r="AB208" s="3">
        <v>6.93</v>
      </c>
      <c r="AC208" s="7">
        <f t="shared" si="76"/>
        <v>2.0618556701030855E-2</v>
      </c>
      <c r="AD208" s="3">
        <v>68.445740999999998</v>
      </c>
      <c r="AE208" s="7">
        <f t="shared" si="77"/>
        <v>3.549119447781024E-3</v>
      </c>
      <c r="AF208" s="3">
        <v>62.590186000000003</v>
      </c>
      <c r="AG208" s="7">
        <f t="shared" si="78"/>
        <v>-7.8123700392862538E-4</v>
      </c>
      <c r="AH208" s="3">
        <v>21.449577999999999</v>
      </c>
      <c r="AI208" s="7">
        <f t="shared" si="79"/>
        <v>4.1606920795913993E-2</v>
      </c>
      <c r="AJ208" s="3">
        <v>72.721395999999999</v>
      </c>
      <c r="AK208" s="7">
        <f t="shared" si="80"/>
        <v>-1.8383255343634275E-2</v>
      </c>
      <c r="AL208" s="3">
        <v>3.13</v>
      </c>
      <c r="AM208" s="7">
        <f t="shared" si="81"/>
        <v>6.8259385665528916E-2</v>
      </c>
      <c r="AN208" s="3">
        <v>0.43</v>
      </c>
      <c r="AO208" s="7">
        <f t="shared" si="82"/>
        <v>-8.5106382978723416E-2</v>
      </c>
      <c r="AP208" s="3">
        <v>7.07</v>
      </c>
      <c r="AQ208" s="7">
        <f t="shared" si="83"/>
        <v>2.9112081513828159E-2</v>
      </c>
    </row>
    <row r="209" spans="1:43" x14ac:dyDescent="0.3">
      <c r="A209" s="4">
        <v>42395</v>
      </c>
      <c r="B209" s="3">
        <v>16167.230469</v>
      </c>
      <c r="C209" s="7">
        <f t="shared" si="63"/>
        <v>1.7753027458642601E-2</v>
      </c>
      <c r="D209" s="3">
        <v>97.813721999999999</v>
      </c>
      <c r="E209" s="7">
        <f t="shared" si="64"/>
        <v>5.5309292720873149E-3</v>
      </c>
      <c r="F209" s="3">
        <v>86.889999000000003</v>
      </c>
      <c r="G209" s="7">
        <f t="shared" si="65"/>
        <v>1.3829895603201248E-3</v>
      </c>
      <c r="H209" s="3">
        <v>51.119701999999997</v>
      </c>
      <c r="I209" s="7">
        <f t="shared" si="66"/>
        <v>7.3372691049611305E-3</v>
      </c>
      <c r="J209" s="3">
        <v>34.835580999999998</v>
      </c>
      <c r="K209" s="7">
        <f t="shared" si="67"/>
        <v>2.5917298632667896E-2</v>
      </c>
      <c r="L209" s="3">
        <v>77.619461999999999</v>
      </c>
      <c r="M209" s="7">
        <f t="shared" si="68"/>
        <v>8.0450003134415748E-3</v>
      </c>
      <c r="N209" s="3">
        <v>13.153503000000001</v>
      </c>
      <c r="O209" s="7">
        <f t="shared" si="69"/>
        <v>2.7006192720613775E-2</v>
      </c>
      <c r="P209" s="3">
        <v>40.128655999999999</v>
      </c>
      <c r="Q209" s="7">
        <f t="shared" si="70"/>
        <v>2.402024162583416E-2</v>
      </c>
      <c r="R209" s="3">
        <v>6.9149050000000001</v>
      </c>
      <c r="S209" s="7">
        <f t="shared" si="71"/>
        <v>2.0231249692008291E-2</v>
      </c>
      <c r="T209" s="3">
        <v>55.817076</v>
      </c>
      <c r="U209" s="7">
        <f t="shared" si="72"/>
        <v>2.5512079224976558E-2</v>
      </c>
      <c r="V209" s="3">
        <v>46.757249999999999</v>
      </c>
      <c r="W209" s="7">
        <f t="shared" si="73"/>
        <v>1.2589155207992198E-2</v>
      </c>
      <c r="X209" s="3">
        <v>146.81405100000001</v>
      </c>
      <c r="Y209" s="7">
        <f t="shared" si="74"/>
        <v>-1.5121357501927668E-2</v>
      </c>
      <c r="Z209" s="3">
        <v>120.288765</v>
      </c>
      <c r="AA209" s="7">
        <f t="shared" si="75"/>
        <v>4.0259525302606125E-3</v>
      </c>
      <c r="AB209" s="3">
        <v>6.79</v>
      </c>
      <c r="AC209" s="7">
        <f t="shared" si="76"/>
        <v>1.9519519519519468E-2</v>
      </c>
      <c r="AD209" s="3">
        <v>68.203677999999996</v>
      </c>
      <c r="AE209" s="7">
        <f t="shared" si="77"/>
        <v>2.2054629620332999E-2</v>
      </c>
      <c r="AF209" s="3">
        <v>62.639122</v>
      </c>
      <c r="AG209" s="7">
        <f t="shared" si="78"/>
        <v>8.6682272043503428E-3</v>
      </c>
      <c r="AH209" s="3">
        <v>20.592776000000001</v>
      </c>
      <c r="AI209" s="7">
        <f t="shared" si="79"/>
        <v>7.8390968501770075E-2</v>
      </c>
      <c r="AJ209" s="3">
        <v>74.083287999999996</v>
      </c>
      <c r="AK209" s="7">
        <f t="shared" si="80"/>
        <v>3.6766592787730312E-2</v>
      </c>
      <c r="AL209" s="3">
        <v>2.93</v>
      </c>
      <c r="AM209" s="7">
        <f t="shared" si="81"/>
        <v>3.4246575342467001E-3</v>
      </c>
      <c r="AN209" s="3">
        <v>0.47</v>
      </c>
      <c r="AO209" s="7">
        <f t="shared" si="82"/>
        <v>6.8181818181818121E-2</v>
      </c>
      <c r="AP209" s="3">
        <v>6.87</v>
      </c>
      <c r="AQ209" s="7">
        <f t="shared" si="83"/>
        <v>0.12071778140293632</v>
      </c>
    </row>
    <row r="210" spans="1:43" x14ac:dyDescent="0.3">
      <c r="A210" s="4">
        <v>42394</v>
      </c>
      <c r="B210" s="3">
        <v>15885.219727</v>
      </c>
      <c r="C210" s="7">
        <f t="shared" si="63"/>
        <v>-1.2942486880024417E-2</v>
      </c>
      <c r="D210" s="3">
        <v>97.275696999999994</v>
      </c>
      <c r="E210" s="7">
        <f t="shared" si="64"/>
        <v>-1.9522742267844451E-2</v>
      </c>
      <c r="F210" s="3">
        <v>86.769997000000004</v>
      </c>
      <c r="G210" s="7">
        <f t="shared" si="65"/>
        <v>-3.1908960121910912E-2</v>
      </c>
      <c r="H210" s="3">
        <v>50.747354999999999</v>
      </c>
      <c r="I210" s="7">
        <f t="shared" si="66"/>
        <v>-9.5620593821815758E-3</v>
      </c>
      <c r="J210" s="3">
        <v>33.955545000000001</v>
      </c>
      <c r="K210" s="7">
        <f t="shared" si="67"/>
        <v>-1.321836070810456E-2</v>
      </c>
      <c r="L210" s="3">
        <v>76.999996999999993</v>
      </c>
      <c r="M210" s="7">
        <f t="shared" si="68"/>
        <v>5.1106627002228677E-4</v>
      </c>
      <c r="N210" s="3">
        <v>12.807618</v>
      </c>
      <c r="O210" s="7">
        <f t="shared" si="69"/>
        <v>-4.424776779900963E-2</v>
      </c>
      <c r="P210" s="3">
        <v>39.187365999999997</v>
      </c>
      <c r="Q210" s="7">
        <f t="shared" si="70"/>
        <v>-3.6775502455871467E-2</v>
      </c>
      <c r="R210" s="3">
        <v>6.7777820000000002</v>
      </c>
      <c r="S210" s="7">
        <f t="shared" si="71"/>
        <v>2.898555871369668E-3</v>
      </c>
      <c r="T210" s="3">
        <v>54.428491999999999</v>
      </c>
      <c r="U210" s="7">
        <f t="shared" si="72"/>
        <v>-2.2651465432246498E-2</v>
      </c>
      <c r="V210" s="3">
        <v>46.175933999999998</v>
      </c>
      <c r="W210" s="7">
        <f t="shared" si="73"/>
        <v>-2.7743788392815882E-2</v>
      </c>
      <c r="X210" s="3">
        <v>149.068164</v>
      </c>
      <c r="Y210" s="7">
        <f t="shared" si="74"/>
        <v>-1.8934242907291621E-2</v>
      </c>
      <c r="Z210" s="3">
        <v>119.80643000000001</v>
      </c>
      <c r="AA210" s="7">
        <f t="shared" si="75"/>
        <v>-8.5533011081900812E-3</v>
      </c>
      <c r="AB210" s="3">
        <v>6.66</v>
      </c>
      <c r="AC210" s="7">
        <f t="shared" si="76"/>
        <v>-1.3333333333333308E-2</v>
      </c>
      <c r="AD210" s="3">
        <v>66.731930000000006</v>
      </c>
      <c r="AE210" s="7">
        <f t="shared" si="77"/>
        <v>-1.1474518726223959E-2</v>
      </c>
      <c r="AF210" s="3">
        <v>62.100817999999997</v>
      </c>
      <c r="AG210" s="7">
        <f t="shared" si="78"/>
        <v>1.2123185471200504E-2</v>
      </c>
      <c r="AH210" s="3">
        <v>19.095835000000001</v>
      </c>
      <c r="AI210" s="7">
        <f t="shared" si="79"/>
        <v>-4.9043647162265058E-2</v>
      </c>
      <c r="AJ210" s="3">
        <v>71.456091000000001</v>
      </c>
      <c r="AK210" s="7">
        <f t="shared" si="80"/>
        <v>-3.3825201710501407E-2</v>
      </c>
      <c r="AL210" s="3">
        <v>2.92</v>
      </c>
      <c r="AM210" s="7">
        <f t="shared" si="81"/>
        <v>-3.6303630363036299E-2</v>
      </c>
      <c r="AN210" s="3">
        <v>0.44</v>
      </c>
      <c r="AO210" s="7">
        <f t="shared" si="82"/>
        <v>-6.3829787234042534E-2</v>
      </c>
      <c r="AP210" s="3">
        <v>6.13</v>
      </c>
      <c r="AQ210" s="7">
        <f t="shared" si="83"/>
        <v>-7.4018126888217517E-2</v>
      </c>
    </row>
    <row r="211" spans="1:43" x14ac:dyDescent="0.3">
      <c r="A211" s="4">
        <v>42391</v>
      </c>
      <c r="B211" s="3">
        <v>16093.509765999999</v>
      </c>
      <c r="C211" s="7">
        <f t="shared" si="63"/>
        <v>1.327421330289047E-2</v>
      </c>
      <c r="D211" s="3">
        <v>99.212598999999997</v>
      </c>
      <c r="E211" s="7">
        <f t="shared" si="64"/>
        <v>5.316713593174982E-2</v>
      </c>
      <c r="F211" s="3">
        <v>89.629997000000003</v>
      </c>
      <c r="G211" s="7">
        <f t="shared" si="65"/>
        <v>1.8522693181818317E-2</v>
      </c>
      <c r="H211" s="3">
        <v>51.237288999999997</v>
      </c>
      <c r="I211" s="7">
        <f t="shared" si="66"/>
        <v>3.5855810056528936E-2</v>
      </c>
      <c r="J211" s="3">
        <v>34.410393999999997</v>
      </c>
      <c r="K211" s="7">
        <f t="shared" si="67"/>
        <v>1.9929659745461459E-2</v>
      </c>
      <c r="L211" s="3">
        <v>76.960665000000006</v>
      </c>
      <c r="M211" s="7">
        <f t="shared" si="68"/>
        <v>3.5901903036239524E-3</v>
      </c>
      <c r="N211" s="3">
        <v>13.400563</v>
      </c>
      <c r="O211" s="7">
        <f t="shared" si="69"/>
        <v>1.4970104326968992E-2</v>
      </c>
      <c r="P211" s="3">
        <v>40.683523000000001</v>
      </c>
      <c r="Q211" s="7">
        <f t="shared" si="70"/>
        <v>2.2664999608992709E-2</v>
      </c>
      <c r="R211" s="3">
        <v>6.7581930000000003</v>
      </c>
      <c r="S211" s="7">
        <f t="shared" si="71"/>
        <v>1.92023212657777E-2</v>
      </c>
      <c r="T211" s="3">
        <v>55.689951000000001</v>
      </c>
      <c r="U211" s="7">
        <f t="shared" si="72"/>
        <v>3.0769238457613923E-2</v>
      </c>
      <c r="V211" s="3">
        <v>47.493586000000001</v>
      </c>
      <c r="W211" s="7">
        <f t="shared" si="73"/>
        <v>2.1037327415476037E-2</v>
      </c>
      <c r="X211" s="3">
        <v>151.94513000000001</v>
      </c>
      <c r="Y211" s="7">
        <f t="shared" si="74"/>
        <v>2.2010892099761481E-2</v>
      </c>
      <c r="Z211" s="3">
        <v>120.840011</v>
      </c>
      <c r="AA211" s="7">
        <f t="shared" si="75"/>
        <v>2.1127941336627654E-2</v>
      </c>
      <c r="AB211" s="3">
        <v>6.75</v>
      </c>
      <c r="AC211" s="7">
        <f t="shared" si="76"/>
        <v>2.8963414634146423E-2</v>
      </c>
      <c r="AD211" s="3">
        <v>67.506535</v>
      </c>
      <c r="AE211" s="7">
        <f t="shared" si="77"/>
        <v>1.5734292539058448E-2</v>
      </c>
      <c r="AF211" s="3">
        <v>61.356976000000003</v>
      </c>
      <c r="AG211" s="7">
        <f t="shared" si="78"/>
        <v>1.3089811700978116E-2</v>
      </c>
      <c r="AH211" s="3">
        <v>20.080663999999999</v>
      </c>
      <c r="AI211" s="7">
        <f t="shared" si="79"/>
        <v>2.5653933638400739E-2</v>
      </c>
      <c r="AJ211" s="3">
        <v>73.957725999999994</v>
      </c>
      <c r="AK211" s="7">
        <f t="shared" si="80"/>
        <v>3.3333346373816131E-2</v>
      </c>
      <c r="AL211" s="3">
        <v>3.03</v>
      </c>
      <c r="AM211" s="7">
        <f t="shared" si="81"/>
        <v>1.6778523489932917E-2</v>
      </c>
      <c r="AN211" s="3">
        <v>0.47</v>
      </c>
      <c r="AO211" s="7">
        <f t="shared" si="82"/>
        <v>9.3023255813953432E-2</v>
      </c>
      <c r="AP211" s="3">
        <v>6.62</v>
      </c>
      <c r="AQ211" s="7">
        <f t="shared" si="83"/>
        <v>0.12585034013605445</v>
      </c>
    </row>
    <row r="212" spans="1:43" x14ac:dyDescent="0.3">
      <c r="A212" s="4">
        <v>42390</v>
      </c>
      <c r="B212" s="3">
        <v>15882.679688</v>
      </c>
      <c r="C212" s="7">
        <f t="shared" si="63"/>
        <v>7.3534194309856638E-3</v>
      </c>
      <c r="D212" s="3">
        <v>94.204040000000006</v>
      </c>
      <c r="E212" s="7">
        <f t="shared" si="64"/>
        <v>-5.0624833570303007E-3</v>
      </c>
      <c r="F212" s="3">
        <v>88</v>
      </c>
      <c r="G212" s="7">
        <f t="shared" si="65"/>
        <v>6.8226061673271055E-4</v>
      </c>
      <c r="H212" s="3">
        <v>49.463726999999999</v>
      </c>
      <c r="I212" s="7">
        <f t="shared" si="66"/>
        <v>-6.1035832490398123E-3</v>
      </c>
      <c r="J212" s="3">
        <v>33.738007000000003</v>
      </c>
      <c r="K212" s="7">
        <f t="shared" si="67"/>
        <v>5.3034828165490211E-3</v>
      </c>
      <c r="L212" s="3">
        <v>76.68535</v>
      </c>
      <c r="M212" s="7">
        <f t="shared" si="68"/>
        <v>6.7122331893278986E-3</v>
      </c>
      <c r="N212" s="3">
        <v>13.202914</v>
      </c>
      <c r="O212" s="7">
        <f t="shared" si="69"/>
        <v>-2.4105194798091256E-2</v>
      </c>
      <c r="P212" s="3">
        <v>39.781866999999998</v>
      </c>
      <c r="Q212" s="7">
        <f t="shared" si="70"/>
        <v>-8.3971459728929831E-3</v>
      </c>
      <c r="R212" s="3">
        <v>6.630865</v>
      </c>
      <c r="S212" s="7">
        <f t="shared" si="71"/>
        <v>3.2012172108458747E-2</v>
      </c>
      <c r="T212" s="3">
        <v>54.027563999999998</v>
      </c>
      <c r="U212" s="7">
        <f t="shared" si="72"/>
        <v>-4.683815812332015E-3</v>
      </c>
      <c r="V212" s="3">
        <v>46.515034</v>
      </c>
      <c r="W212" s="7">
        <f t="shared" si="73"/>
        <v>2.9245746505441872E-3</v>
      </c>
      <c r="X212" s="3">
        <v>148.67271099999999</v>
      </c>
      <c r="Y212" s="7">
        <f t="shared" si="74"/>
        <v>1.0482441004299403E-2</v>
      </c>
      <c r="Z212" s="3">
        <v>118.339736</v>
      </c>
      <c r="AA212" s="7">
        <f t="shared" si="75"/>
        <v>3.2285773487942704E-2</v>
      </c>
      <c r="AB212" s="3">
        <v>6.56</v>
      </c>
      <c r="AC212" s="7">
        <f t="shared" si="76"/>
        <v>3.961965134706813E-2</v>
      </c>
      <c r="AD212" s="3">
        <v>66.460820999999996</v>
      </c>
      <c r="AE212" s="7">
        <f t="shared" si="77"/>
        <v>1.5534894309045422E-2</v>
      </c>
      <c r="AF212" s="3">
        <v>60.564202000000002</v>
      </c>
      <c r="AG212" s="7">
        <f t="shared" si="78"/>
        <v>1.7094021400081205E-2</v>
      </c>
      <c r="AH212" s="3">
        <v>19.578400999999999</v>
      </c>
      <c r="AI212" s="7">
        <f t="shared" si="79"/>
        <v>7.7506685847632095E-2</v>
      </c>
      <c r="AJ212" s="3">
        <v>71.571991999999995</v>
      </c>
      <c r="AK212" s="7">
        <f t="shared" si="80"/>
        <v>1.2571710456238616E-2</v>
      </c>
      <c r="AL212" s="3">
        <v>2.98</v>
      </c>
      <c r="AM212" s="7">
        <f t="shared" si="81"/>
        <v>1.3605442176870763E-2</v>
      </c>
      <c r="AN212" s="3">
        <v>0.43</v>
      </c>
      <c r="AO212" s="7">
        <f t="shared" si="82"/>
        <v>0.16216216216216206</v>
      </c>
      <c r="AP212" s="3">
        <v>5.88</v>
      </c>
      <c r="AQ212" s="7">
        <f t="shared" si="83"/>
        <v>0.17131474103585664</v>
      </c>
    </row>
    <row r="213" spans="1:43" x14ac:dyDescent="0.3">
      <c r="A213" s="4">
        <v>42389</v>
      </c>
      <c r="B213" s="3">
        <v>15766.740234000001</v>
      </c>
      <c r="C213" s="7">
        <f t="shared" si="63"/>
        <v>-1.5564372690574202E-2</v>
      </c>
      <c r="D213" s="3">
        <v>94.683373000000003</v>
      </c>
      <c r="E213" s="7">
        <f t="shared" si="64"/>
        <v>1.3448932304336303E-3</v>
      </c>
      <c r="F213" s="3">
        <v>87.940002000000007</v>
      </c>
      <c r="G213" s="7">
        <f t="shared" si="65"/>
        <v>-1.3904440457501721E-2</v>
      </c>
      <c r="H213" s="3">
        <v>49.767487000000003</v>
      </c>
      <c r="I213" s="7">
        <f t="shared" si="66"/>
        <v>4.5490384565309849E-3</v>
      </c>
      <c r="J213" s="3">
        <v>33.560021999999996</v>
      </c>
      <c r="K213" s="7">
        <f t="shared" si="67"/>
        <v>-1.7655580378567182E-2</v>
      </c>
      <c r="L213" s="3">
        <v>76.174052000000003</v>
      </c>
      <c r="M213" s="7">
        <f t="shared" si="68"/>
        <v>-1.1105369731565062E-2</v>
      </c>
      <c r="N213" s="3">
        <v>13.529033999999999</v>
      </c>
      <c r="O213" s="7">
        <f t="shared" si="69"/>
        <v>-3.8623585874560051E-2</v>
      </c>
      <c r="P213" s="3">
        <v>40.118749999999999</v>
      </c>
      <c r="Q213" s="7">
        <f t="shared" si="70"/>
        <v>-3.4573128936246533E-2</v>
      </c>
      <c r="R213" s="3">
        <v>6.4251810000000003</v>
      </c>
      <c r="S213" s="7">
        <f t="shared" si="71"/>
        <v>-7.5642327266594034E-3</v>
      </c>
      <c r="T213" s="3">
        <v>54.28181</v>
      </c>
      <c r="U213" s="7">
        <f t="shared" si="72"/>
        <v>-2.6311162028563873E-2</v>
      </c>
      <c r="V213" s="3">
        <v>46.379393999999998</v>
      </c>
      <c r="W213" s="7">
        <f t="shared" si="73"/>
        <v>-7.0524815587775791E-3</v>
      </c>
      <c r="X213" s="3">
        <v>147.130425</v>
      </c>
      <c r="Y213" s="7">
        <f t="shared" si="74"/>
        <v>-1.0965599031998008E-2</v>
      </c>
      <c r="Z213" s="3">
        <v>114.638542</v>
      </c>
      <c r="AA213" s="7">
        <f t="shared" si="75"/>
        <v>-2.7555132234673874E-2</v>
      </c>
      <c r="AB213" s="3">
        <v>6.31</v>
      </c>
      <c r="AC213" s="7">
        <f t="shared" si="76"/>
        <v>-3.9573820395738313E-2</v>
      </c>
      <c r="AD213" s="3">
        <v>65.444153</v>
      </c>
      <c r="AE213" s="7">
        <f t="shared" si="77"/>
        <v>-2.3830187898824962E-2</v>
      </c>
      <c r="AF213" s="3">
        <v>59.546315999999997</v>
      </c>
      <c r="AG213" s="7">
        <f t="shared" si="78"/>
        <v>-2.7493615316987352E-2</v>
      </c>
      <c r="AH213" s="3">
        <v>18.170096999999998</v>
      </c>
      <c r="AI213" s="7">
        <f t="shared" si="79"/>
        <v>-9.1299705881680016E-3</v>
      </c>
      <c r="AJ213" s="3">
        <v>70.683380999999997</v>
      </c>
      <c r="AK213" s="7">
        <f t="shared" si="80"/>
        <v>-4.2146609388292178E-2</v>
      </c>
      <c r="AL213" s="3">
        <v>2.94</v>
      </c>
      <c r="AM213" s="7">
        <f t="shared" si="81"/>
        <v>-2.3255813953488302E-2</v>
      </c>
      <c r="AN213" s="3">
        <v>0.37</v>
      </c>
      <c r="AO213" s="7">
        <f t="shared" si="82"/>
        <v>-9.7560975609756073E-2</v>
      </c>
      <c r="AP213" s="3">
        <v>5.0199999999999996</v>
      </c>
      <c r="AQ213" s="7">
        <f t="shared" si="83"/>
        <v>6.3559322033898358E-2</v>
      </c>
    </row>
    <row r="214" spans="1:43" x14ac:dyDescent="0.3">
      <c r="A214" s="4">
        <v>42388</v>
      </c>
      <c r="B214" s="3">
        <v>16016.019531</v>
      </c>
      <c r="C214" s="7">
        <f t="shared" si="63"/>
        <v>1.7475177046708534E-3</v>
      </c>
      <c r="D214" s="3">
        <v>94.556205000000006</v>
      </c>
      <c r="E214" s="7">
        <f t="shared" si="64"/>
        <v>-4.8388076745288222E-3</v>
      </c>
      <c r="F214" s="3">
        <v>89.18</v>
      </c>
      <c r="G214" s="7">
        <f t="shared" si="65"/>
        <v>1.1216777194489325E-4</v>
      </c>
      <c r="H214" s="3">
        <v>49.542118000000002</v>
      </c>
      <c r="I214" s="7">
        <f t="shared" si="66"/>
        <v>-8.433042530159307E-3</v>
      </c>
      <c r="J214" s="3">
        <v>34.163193</v>
      </c>
      <c r="K214" s="7">
        <f t="shared" si="67"/>
        <v>1.2602582007881891E-2</v>
      </c>
      <c r="L214" s="3">
        <v>77.029493000000002</v>
      </c>
      <c r="M214" s="7">
        <f t="shared" si="68"/>
        <v>1.8725549946466691E-2</v>
      </c>
      <c r="N214" s="3">
        <v>14.072566999999999</v>
      </c>
      <c r="O214" s="7">
        <f t="shared" si="69"/>
        <v>-1.5214435904428392E-2</v>
      </c>
      <c r="P214" s="3">
        <v>41.555452000000002</v>
      </c>
      <c r="Q214" s="7">
        <f t="shared" si="70"/>
        <v>-1.2479457574209651E-2</v>
      </c>
      <c r="R214" s="3">
        <v>6.4741530000000003</v>
      </c>
      <c r="S214" s="7">
        <f t="shared" si="71"/>
        <v>2.0061684385499934E-2</v>
      </c>
      <c r="T214" s="3">
        <v>55.748621</v>
      </c>
      <c r="U214" s="7">
        <f t="shared" si="72"/>
        <v>-5.2599628957383793E-4</v>
      </c>
      <c r="V214" s="3">
        <v>46.708807</v>
      </c>
      <c r="W214" s="7">
        <f t="shared" si="73"/>
        <v>-1.249489083603772E-2</v>
      </c>
      <c r="X214" s="3">
        <v>148.761686</v>
      </c>
      <c r="Y214" s="7">
        <f t="shared" si="74"/>
        <v>5.3196543681455211E-4</v>
      </c>
      <c r="Z214" s="3">
        <v>117.886932</v>
      </c>
      <c r="AA214" s="7">
        <f t="shared" si="75"/>
        <v>4.4451839404351379E-3</v>
      </c>
      <c r="AB214" s="3">
        <v>6.57</v>
      </c>
      <c r="AC214" s="7">
        <f t="shared" si="76"/>
        <v>-6.2767475035663267E-2</v>
      </c>
      <c r="AD214" s="3">
        <v>67.041770999999997</v>
      </c>
      <c r="AE214" s="7">
        <f t="shared" si="77"/>
        <v>-1.1986349266037699E-2</v>
      </c>
      <c r="AF214" s="3">
        <v>61.229742999999999</v>
      </c>
      <c r="AG214" s="7">
        <f t="shared" si="78"/>
        <v>1.0172794551570608E-2</v>
      </c>
      <c r="AH214" s="3">
        <v>18.337517999999999</v>
      </c>
      <c r="AI214" s="7">
        <f t="shared" si="79"/>
        <v>-9.8741468340016958E-2</v>
      </c>
      <c r="AJ214" s="3">
        <v>73.793527999999995</v>
      </c>
      <c r="AK214" s="7">
        <f t="shared" si="80"/>
        <v>-1.5210106068905049E-2</v>
      </c>
      <c r="AL214" s="3">
        <v>3.01</v>
      </c>
      <c r="AM214" s="7">
        <f t="shared" si="81"/>
        <v>-7.9510703363914415E-2</v>
      </c>
      <c r="AN214" s="3">
        <v>0.41</v>
      </c>
      <c r="AO214" s="7">
        <f t="shared" si="82"/>
        <v>-0.16326530612244905</v>
      </c>
      <c r="AP214" s="3">
        <v>4.72</v>
      </c>
      <c r="AQ214" s="7">
        <f t="shared" si="83"/>
        <v>-0.17482517482517479</v>
      </c>
    </row>
    <row r="215" spans="1:43" x14ac:dyDescent="0.3">
      <c r="A215" s="4">
        <v>42384</v>
      </c>
      <c r="B215" s="3">
        <v>15988.080078000001</v>
      </c>
      <c r="C215" s="7">
        <f t="shared" si="63"/>
        <v>-2.3870110394355715E-2</v>
      </c>
      <c r="D215" s="3">
        <v>95.015968999999998</v>
      </c>
      <c r="E215" s="7">
        <f t="shared" si="64"/>
        <v>-2.4015265944525077E-2</v>
      </c>
      <c r="F215" s="3">
        <v>89.169998000000007</v>
      </c>
      <c r="G215" s="7">
        <f t="shared" si="65"/>
        <v>-7.0156456453570604E-3</v>
      </c>
      <c r="H215" s="3">
        <v>49.963462</v>
      </c>
      <c r="I215" s="7">
        <f t="shared" si="66"/>
        <v>-3.9917118844106425E-2</v>
      </c>
      <c r="J215" s="3">
        <v>33.738007000000003</v>
      </c>
      <c r="K215" s="7">
        <f t="shared" si="67"/>
        <v>-1.9258465601728836E-2</v>
      </c>
      <c r="L215" s="3">
        <v>75.613586999999995</v>
      </c>
      <c r="M215" s="7">
        <f t="shared" si="68"/>
        <v>-3.5373808978859778E-2</v>
      </c>
      <c r="N215" s="3">
        <v>14.289980999999999</v>
      </c>
      <c r="O215" s="7">
        <f t="shared" si="69"/>
        <v>-3.5356883662602923E-2</v>
      </c>
      <c r="P215" s="3">
        <v>42.080595000000002</v>
      </c>
      <c r="Q215" s="7">
        <f t="shared" si="70"/>
        <v>-6.4125157434585245E-2</v>
      </c>
      <c r="R215" s="3">
        <v>6.3468249999999999</v>
      </c>
      <c r="S215" s="7">
        <f t="shared" si="71"/>
        <v>-6.8965491949490643E-2</v>
      </c>
      <c r="T215" s="3">
        <v>55.77796</v>
      </c>
      <c r="U215" s="7">
        <f t="shared" si="72"/>
        <v>-1.9931264763286549E-2</v>
      </c>
      <c r="V215" s="3">
        <v>47.299813</v>
      </c>
      <c r="W215" s="7">
        <f t="shared" si="73"/>
        <v>-3.5939973757489363E-2</v>
      </c>
      <c r="X215" s="3">
        <v>148.682592</v>
      </c>
      <c r="Y215" s="7">
        <f t="shared" si="74"/>
        <v>-1.8213823464214518E-2</v>
      </c>
      <c r="Z215" s="3">
        <v>117.365222</v>
      </c>
      <c r="AA215" s="7">
        <f t="shared" si="75"/>
        <v>-3.2603215504231065E-3</v>
      </c>
      <c r="AB215" s="3">
        <v>7.01</v>
      </c>
      <c r="AC215" s="7">
        <f t="shared" si="76"/>
        <v>-3.9726027397260277E-2</v>
      </c>
      <c r="AD215" s="3">
        <v>67.855106000000006</v>
      </c>
      <c r="AE215" s="7">
        <f t="shared" si="77"/>
        <v>-4.686860718028707E-3</v>
      </c>
      <c r="AF215" s="3">
        <v>60.613137999999999</v>
      </c>
      <c r="AG215" s="7">
        <f t="shared" si="78"/>
        <v>-1.7919457718695853E-2</v>
      </c>
      <c r="AH215" s="3">
        <v>20.346568000000001</v>
      </c>
      <c r="AI215" s="7">
        <f t="shared" si="79"/>
        <v>-2.224322551350133E-2</v>
      </c>
      <c r="AJ215" s="3">
        <v>74.933271000000005</v>
      </c>
      <c r="AK215" s="7">
        <f t="shared" si="80"/>
        <v>-1.9464115844060159E-2</v>
      </c>
      <c r="AL215" s="3">
        <v>3.27</v>
      </c>
      <c r="AM215" s="7">
        <f t="shared" si="81"/>
        <v>-9.1666666666666674E-2</v>
      </c>
      <c r="AN215" s="3">
        <v>0.49</v>
      </c>
      <c r="AO215" s="7">
        <f t="shared" si="82"/>
        <v>-9.2592592592592671E-2</v>
      </c>
      <c r="AP215" s="3">
        <v>5.72</v>
      </c>
      <c r="AQ215" s="7">
        <f t="shared" si="83"/>
        <v>-0.15259259259259261</v>
      </c>
    </row>
    <row r="216" spans="1:43" x14ac:dyDescent="0.3">
      <c r="A216" s="4">
        <v>42383</v>
      </c>
      <c r="B216" s="3">
        <v>16379.049805000001</v>
      </c>
      <c r="C216" s="7">
        <f t="shared" si="63"/>
        <v>1.4094103660381441E-2</v>
      </c>
      <c r="D216" s="3">
        <v>97.353949999999998</v>
      </c>
      <c r="E216" s="7">
        <f t="shared" si="64"/>
        <v>2.1870800633045029E-2</v>
      </c>
      <c r="F216" s="3">
        <v>89.800003000000004</v>
      </c>
      <c r="G216" s="7">
        <f t="shared" si="65"/>
        <v>1.6987541891702929E-2</v>
      </c>
      <c r="H216" s="3">
        <v>52.040779999999998</v>
      </c>
      <c r="I216" s="7">
        <f t="shared" si="66"/>
        <v>2.8466331661231026E-2</v>
      </c>
      <c r="J216" s="3">
        <v>34.400508000000002</v>
      </c>
      <c r="K216" s="7">
        <f t="shared" si="67"/>
        <v>2.0833297476104073E-2</v>
      </c>
      <c r="L216" s="3">
        <v>78.386413000000005</v>
      </c>
      <c r="M216" s="7">
        <f t="shared" si="68"/>
        <v>1.6447795995518266E-2</v>
      </c>
      <c r="N216" s="3">
        <v>14.813749</v>
      </c>
      <c r="O216" s="7">
        <f t="shared" si="69"/>
        <v>6.0402829048964435E-3</v>
      </c>
      <c r="P216" s="3">
        <v>44.963912999999998</v>
      </c>
      <c r="Q216" s="7">
        <f t="shared" si="70"/>
        <v>4.2045395564536125E-3</v>
      </c>
      <c r="R216" s="3">
        <v>6.8169599999999999</v>
      </c>
      <c r="S216" s="7">
        <f t="shared" si="71"/>
        <v>-1.4346496153223587E-3</v>
      </c>
      <c r="T216" s="3">
        <v>56.912294000000003</v>
      </c>
      <c r="U216" s="7">
        <f t="shared" si="72"/>
        <v>1.4998255257830495E-2</v>
      </c>
      <c r="V216" s="3">
        <v>49.063141000000002</v>
      </c>
      <c r="W216" s="7">
        <f t="shared" si="73"/>
        <v>1.8298816368788273E-2</v>
      </c>
      <c r="X216" s="3">
        <v>151.44091</v>
      </c>
      <c r="Y216" s="7">
        <f t="shared" si="74"/>
        <v>6.9681658675124769E-3</v>
      </c>
      <c r="Z216" s="3">
        <v>117.749122</v>
      </c>
      <c r="AA216" s="7">
        <f t="shared" si="75"/>
        <v>-1.4662261235509289E-2</v>
      </c>
      <c r="AB216" s="3">
        <v>7.3</v>
      </c>
      <c r="AC216" s="7">
        <f t="shared" si="76"/>
        <v>-8.15217391304357E-3</v>
      </c>
      <c r="AD216" s="3">
        <v>68.174631000000005</v>
      </c>
      <c r="AE216" s="7">
        <f t="shared" si="77"/>
        <v>-1.7169121219881123E-2</v>
      </c>
      <c r="AF216" s="3">
        <v>61.719110999999998</v>
      </c>
      <c r="AG216" s="7">
        <f t="shared" si="78"/>
        <v>1.8410896731136051E-2</v>
      </c>
      <c r="AH216" s="3">
        <v>20.809436999999999</v>
      </c>
      <c r="AI216" s="7">
        <f t="shared" si="79"/>
        <v>5.5444491095124615E-2</v>
      </c>
      <c r="AJ216" s="3">
        <v>76.420732999999998</v>
      </c>
      <c r="AK216" s="7">
        <f t="shared" si="80"/>
        <v>4.5869147313471581E-2</v>
      </c>
      <c r="AL216" s="3">
        <v>3.6</v>
      </c>
      <c r="AM216" s="7">
        <f t="shared" si="81"/>
        <v>7.4626865671641784E-2</v>
      </c>
      <c r="AN216" s="3">
        <v>0.54</v>
      </c>
      <c r="AO216" s="7">
        <f t="shared" si="82"/>
        <v>5.8823529411764719E-2</v>
      </c>
      <c r="AP216" s="3">
        <v>6.75</v>
      </c>
      <c r="AQ216" s="7">
        <f t="shared" si="83"/>
        <v>0.125</v>
      </c>
    </row>
    <row r="217" spans="1:43" x14ac:dyDescent="0.3">
      <c r="A217" s="4">
        <v>42382</v>
      </c>
      <c r="B217" s="3">
        <v>16151.410156</v>
      </c>
      <c r="C217" s="7">
        <f t="shared" si="63"/>
        <v>-2.2088015991075682E-2</v>
      </c>
      <c r="D217" s="3">
        <v>95.270312000000004</v>
      </c>
      <c r="E217" s="7">
        <f t="shared" si="64"/>
        <v>-2.5710283205161444E-2</v>
      </c>
      <c r="F217" s="3">
        <v>88.300003000000004</v>
      </c>
      <c r="G217" s="7">
        <f t="shared" si="65"/>
        <v>-1.6922700957470393E-2</v>
      </c>
      <c r="H217" s="3">
        <v>50.600372999999998</v>
      </c>
      <c r="I217" s="7">
        <f t="shared" si="66"/>
        <v>-2.1599085120677541E-2</v>
      </c>
      <c r="J217" s="3">
        <v>33.698458000000002</v>
      </c>
      <c r="K217" s="7">
        <f t="shared" si="67"/>
        <v>-3.6471508145204723E-2</v>
      </c>
      <c r="L217" s="3">
        <v>77.117992000000001</v>
      </c>
      <c r="M217" s="7">
        <f t="shared" si="68"/>
        <v>-2.4016921395348834E-2</v>
      </c>
      <c r="N217" s="3">
        <v>14.724807</v>
      </c>
      <c r="O217" s="7">
        <f t="shared" si="69"/>
        <v>-2.6779930478459724E-2</v>
      </c>
      <c r="P217" s="3">
        <v>44.775652000000001</v>
      </c>
      <c r="Q217" s="7">
        <f t="shared" si="70"/>
        <v>-3.6049542908991983E-2</v>
      </c>
      <c r="R217" s="3">
        <v>6.8267540000000002</v>
      </c>
      <c r="S217" s="7">
        <f t="shared" si="71"/>
        <v>-1.4327404074774286E-3</v>
      </c>
      <c r="T217" s="3">
        <v>56.071322000000002</v>
      </c>
      <c r="U217" s="7">
        <f t="shared" si="72"/>
        <v>-2.747622745363798E-2</v>
      </c>
      <c r="V217" s="3">
        <v>48.181477000000001</v>
      </c>
      <c r="W217" s="7">
        <f t="shared" si="73"/>
        <v>-3.1736778256553411E-2</v>
      </c>
      <c r="X217" s="3">
        <v>150.39294699999999</v>
      </c>
      <c r="Y217" s="7">
        <f t="shared" si="74"/>
        <v>-2.5246717153736276E-2</v>
      </c>
      <c r="Z217" s="3">
        <v>119.50128100000001</v>
      </c>
      <c r="AA217" s="7">
        <f t="shared" si="75"/>
        <v>-4.7768427796229251E-2</v>
      </c>
      <c r="AB217" s="3">
        <v>7.36</v>
      </c>
      <c r="AC217" s="7">
        <f t="shared" si="76"/>
        <v>6.8399452804379646E-3</v>
      </c>
      <c r="AD217" s="3">
        <v>69.365577000000002</v>
      </c>
      <c r="AE217" s="7">
        <f t="shared" si="77"/>
        <v>-2.3446039848645239E-2</v>
      </c>
      <c r="AF217" s="3">
        <v>60.603349000000001</v>
      </c>
      <c r="AG217" s="7">
        <f t="shared" si="78"/>
        <v>-2.6721162558760225E-2</v>
      </c>
      <c r="AH217" s="3">
        <v>19.716277999999999</v>
      </c>
      <c r="AI217" s="7">
        <f t="shared" si="79"/>
        <v>-4.8479103417029656E-2</v>
      </c>
      <c r="AJ217" s="3">
        <v>73.069114999999996</v>
      </c>
      <c r="AK217" s="7">
        <f t="shared" si="80"/>
        <v>5.9841015139052711E-3</v>
      </c>
      <c r="AL217" s="3">
        <v>3.35</v>
      </c>
      <c r="AM217" s="7">
        <f t="shared" si="81"/>
        <v>-4.011461318051579E-2</v>
      </c>
      <c r="AN217" s="3">
        <v>0.51</v>
      </c>
      <c r="AO217" s="7">
        <f t="shared" si="82"/>
        <v>-3.7735849056603765E-2</v>
      </c>
      <c r="AP217" s="3">
        <v>6</v>
      </c>
      <c r="AQ217" s="7">
        <f t="shared" si="83"/>
        <v>-8.6757990867579959E-2</v>
      </c>
    </row>
    <row r="218" spans="1:43" x14ac:dyDescent="0.3">
      <c r="A218" s="4">
        <v>42381</v>
      </c>
      <c r="B218" s="3">
        <v>16516.220702999999</v>
      </c>
      <c r="C218" s="7">
        <f t="shared" si="63"/>
        <v>7.1744297680575997E-3</v>
      </c>
      <c r="D218" s="3">
        <v>97.784375999999995</v>
      </c>
      <c r="E218" s="7">
        <f t="shared" si="64"/>
        <v>1.4513344849588439E-2</v>
      </c>
      <c r="F218" s="3">
        <v>89.82</v>
      </c>
      <c r="G218" s="7">
        <f t="shared" si="65"/>
        <v>4.9228352513817075E-3</v>
      </c>
      <c r="H218" s="3">
        <v>51.717421999999999</v>
      </c>
      <c r="I218" s="7">
        <f t="shared" si="66"/>
        <v>9.1778096417032273E-3</v>
      </c>
      <c r="J218" s="3">
        <v>34.974012999999999</v>
      </c>
      <c r="K218" s="7">
        <f t="shared" si="67"/>
        <v>1.2306843653674404E-2</v>
      </c>
      <c r="L218" s="3">
        <v>79.015705999999994</v>
      </c>
      <c r="M218" s="7">
        <f t="shared" si="68"/>
        <v>2.2912464874795591E-2</v>
      </c>
      <c r="N218" s="3">
        <v>15.129987</v>
      </c>
      <c r="O218" s="7">
        <f t="shared" si="69"/>
        <v>0</v>
      </c>
      <c r="P218" s="3">
        <v>46.450158999999999</v>
      </c>
      <c r="Q218" s="7">
        <f t="shared" si="70"/>
        <v>6.4038611273598001E-4</v>
      </c>
      <c r="R218" s="3">
        <v>6.8365489999999998</v>
      </c>
      <c r="S218" s="7">
        <f t="shared" si="71"/>
        <v>-1.6901437615858161E-2</v>
      </c>
      <c r="T218" s="3">
        <v>57.655476999999998</v>
      </c>
      <c r="U218" s="7">
        <f t="shared" si="72"/>
        <v>2.2097102861760032E-3</v>
      </c>
      <c r="V218" s="3">
        <v>49.760722000000001</v>
      </c>
      <c r="W218" s="7">
        <f t="shared" si="73"/>
        <v>2.5354362353820159E-2</v>
      </c>
      <c r="X218" s="3">
        <v>154.288218</v>
      </c>
      <c r="Y218" s="7">
        <f t="shared" si="74"/>
        <v>8.6607822320412531E-3</v>
      </c>
      <c r="Z218" s="3">
        <v>125.49602899999999</v>
      </c>
      <c r="AA218" s="7">
        <f t="shared" si="75"/>
        <v>1.3595156073353376E-2</v>
      </c>
      <c r="AB218" s="3">
        <v>7.31</v>
      </c>
      <c r="AC218" s="7">
        <f t="shared" si="76"/>
        <v>1.36986301369868E-3</v>
      </c>
      <c r="AD218" s="3">
        <v>71.030972000000006</v>
      </c>
      <c r="AE218" s="7">
        <f t="shared" si="77"/>
        <v>1.2979869471850147E-2</v>
      </c>
      <c r="AF218" s="3">
        <v>62.267201</v>
      </c>
      <c r="AG218" s="7">
        <f t="shared" si="78"/>
        <v>-9.3429191841563064E-3</v>
      </c>
      <c r="AH218" s="3">
        <v>20.720804000000001</v>
      </c>
      <c r="AI218" s="7">
        <f t="shared" si="79"/>
        <v>1.34874687528308E-2</v>
      </c>
      <c r="AJ218" s="3">
        <v>72.634462999999997</v>
      </c>
      <c r="AK218" s="7">
        <f t="shared" si="80"/>
        <v>2.0491181695376115E-2</v>
      </c>
      <c r="AL218" s="3">
        <v>3.49</v>
      </c>
      <c r="AM218" s="7">
        <f t="shared" si="81"/>
        <v>-5.9299191374662996E-2</v>
      </c>
      <c r="AN218" s="3">
        <v>0.53</v>
      </c>
      <c r="AO218" s="7">
        <f t="shared" si="82"/>
        <v>-7.0175438596491113E-2</v>
      </c>
      <c r="AP218" s="3">
        <v>6.57</v>
      </c>
      <c r="AQ218" s="7">
        <f t="shared" si="83"/>
        <v>-9.7527472527472514E-2</v>
      </c>
    </row>
    <row r="219" spans="1:43" x14ac:dyDescent="0.3">
      <c r="A219" s="4">
        <v>42380</v>
      </c>
      <c r="B219" s="3">
        <v>16398.570312</v>
      </c>
      <c r="C219" s="7">
        <f t="shared" si="63"/>
        <v>3.1884669991495418E-3</v>
      </c>
      <c r="D219" s="3">
        <v>96.385499999999993</v>
      </c>
      <c r="E219" s="7">
        <f t="shared" si="64"/>
        <v>1.6192243829712405E-2</v>
      </c>
      <c r="F219" s="3">
        <v>89.379997000000003</v>
      </c>
      <c r="G219" s="7">
        <f t="shared" si="65"/>
        <v>1.7416039098828495E-2</v>
      </c>
      <c r="H219" s="3">
        <v>51.247086000000003</v>
      </c>
      <c r="I219" s="7">
        <f t="shared" si="66"/>
        <v>-5.733427320534501E-4</v>
      </c>
      <c r="J219" s="3">
        <v>34.548825999999998</v>
      </c>
      <c r="K219" s="7">
        <f t="shared" si="67"/>
        <v>8.3693118887482321E-3</v>
      </c>
      <c r="L219" s="3">
        <v>77.245813999999996</v>
      </c>
      <c r="M219" s="7">
        <f t="shared" si="68"/>
        <v>2.1586424672592308E-2</v>
      </c>
      <c r="N219" s="3">
        <v>15.129987</v>
      </c>
      <c r="O219" s="7">
        <f t="shared" si="69"/>
        <v>7.236866631871619E-3</v>
      </c>
      <c r="P219" s="3">
        <v>46.420431999999998</v>
      </c>
      <c r="Q219" s="7">
        <f t="shared" si="70"/>
        <v>1.5608012735719656E-2</v>
      </c>
      <c r="R219" s="3">
        <v>6.9540829999999998</v>
      </c>
      <c r="S219" s="7">
        <f t="shared" si="71"/>
        <v>-4.2075095661667783E-3</v>
      </c>
      <c r="T219" s="3">
        <v>57.528356000000002</v>
      </c>
      <c r="U219" s="7">
        <f t="shared" si="72"/>
        <v>-1.5274307240611407E-3</v>
      </c>
      <c r="V219" s="3">
        <v>48.530268</v>
      </c>
      <c r="W219" s="7">
        <f t="shared" si="73"/>
        <v>1.069409663773313E-2</v>
      </c>
      <c r="X219" s="3">
        <v>152.963435</v>
      </c>
      <c r="Y219" s="7">
        <f t="shared" si="74"/>
        <v>1.7158640720890572E-2</v>
      </c>
      <c r="Z219" s="3">
        <v>123.812775</v>
      </c>
      <c r="AA219" s="7">
        <f t="shared" si="75"/>
        <v>1.5173506941467352E-2</v>
      </c>
      <c r="AB219" s="3">
        <v>7.3</v>
      </c>
      <c r="AC219" s="7">
        <f t="shared" si="76"/>
        <v>1.8131101813110062E-2</v>
      </c>
      <c r="AD219" s="3">
        <v>70.120812999999998</v>
      </c>
      <c r="AE219" s="7">
        <f t="shared" si="77"/>
        <v>1.4569920376283685E-2</v>
      </c>
      <c r="AF219" s="3">
        <v>62.854444999999998</v>
      </c>
      <c r="AG219" s="7">
        <f t="shared" si="78"/>
        <v>1.070192521804203E-2</v>
      </c>
      <c r="AH219" s="3">
        <v>20.445052</v>
      </c>
      <c r="AI219" s="7">
        <f t="shared" si="79"/>
        <v>-3.0812315634969889E-2</v>
      </c>
      <c r="AJ219" s="3">
        <v>71.175983000000002</v>
      </c>
      <c r="AK219" s="7">
        <f t="shared" si="80"/>
        <v>-1.3388674845357218E-2</v>
      </c>
      <c r="AL219" s="3">
        <v>3.71</v>
      </c>
      <c r="AM219" s="7">
        <f t="shared" si="81"/>
        <v>-1.0666666666666713E-2</v>
      </c>
      <c r="AN219" s="3">
        <v>0.56999999999999995</v>
      </c>
      <c r="AO219" s="7">
        <f t="shared" si="82"/>
        <v>-0.14925373134328368</v>
      </c>
      <c r="AP219" s="3">
        <v>7.28</v>
      </c>
      <c r="AQ219" s="7">
        <f t="shared" si="83"/>
        <v>-6.3063063063062974E-2</v>
      </c>
    </row>
    <row r="220" spans="1:43" x14ac:dyDescent="0.3">
      <c r="A220" s="4">
        <v>42377</v>
      </c>
      <c r="B220" s="3">
        <v>16346.450194999999</v>
      </c>
      <c r="C220" s="7">
        <f t="shared" si="63"/>
        <v>-1.0151895529843746E-2</v>
      </c>
      <c r="D220" s="3">
        <v>94.849671000000001</v>
      </c>
      <c r="E220" s="7">
        <f t="shared" si="64"/>
        <v>5.2877364465360177E-3</v>
      </c>
      <c r="F220" s="3">
        <v>87.849997999999999</v>
      </c>
      <c r="G220" s="7">
        <f t="shared" si="65"/>
        <v>-1.4139860687466421E-2</v>
      </c>
      <c r="H220" s="3">
        <v>51.276485000000001</v>
      </c>
      <c r="I220" s="7">
        <f t="shared" si="66"/>
        <v>3.0669779726024693E-3</v>
      </c>
      <c r="J220" s="3">
        <v>34.262076</v>
      </c>
      <c r="K220" s="7">
        <f t="shared" si="67"/>
        <v>-1.1130115413980124E-2</v>
      </c>
      <c r="L220" s="3">
        <v>75.613586999999995</v>
      </c>
      <c r="M220" s="7">
        <f t="shared" si="68"/>
        <v>-4.0149951001996476E-3</v>
      </c>
      <c r="N220" s="3">
        <v>15.021280000000001</v>
      </c>
      <c r="O220" s="7">
        <f t="shared" si="69"/>
        <v>-1.9354798275882712E-2</v>
      </c>
      <c r="P220" s="3">
        <v>45.707036000000002</v>
      </c>
      <c r="Q220" s="7">
        <f t="shared" si="70"/>
        <v>-3.0067295964841589E-2</v>
      </c>
      <c r="R220" s="3">
        <v>6.983466</v>
      </c>
      <c r="S220" s="7">
        <f t="shared" si="71"/>
        <v>2.8129445709623724E-3</v>
      </c>
      <c r="T220" s="3">
        <v>57.616360999999998</v>
      </c>
      <c r="U220" s="7">
        <f t="shared" si="72"/>
        <v>-2.2399245533675671E-2</v>
      </c>
      <c r="V220" s="3">
        <v>48.016772000000003</v>
      </c>
      <c r="W220" s="7">
        <f t="shared" si="73"/>
        <v>-1.6666674858248687E-2</v>
      </c>
      <c r="X220" s="3">
        <v>150.38306600000001</v>
      </c>
      <c r="Y220" s="7">
        <f t="shared" si="74"/>
        <v>-1.7504244317343542E-2</v>
      </c>
      <c r="Z220" s="3">
        <v>121.962181</v>
      </c>
      <c r="AA220" s="7">
        <f t="shared" si="75"/>
        <v>-1.1961724716833433E-2</v>
      </c>
      <c r="AB220" s="3">
        <v>7.17</v>
      </c>
      <c r="AC220" s="7">
        <f t="shared" si="76"/>
        <v>-1.2396694214875992E-2</v>
      </c>
      <c r="AD220" s="3">
        <v>69.113829999999993</v>
      </c>
      <c r="AE220" s="7">
        <f t="shared" si="77"/>
        <v>-3.3838656222469621E-2</v>
      </c>
      <c r="AF220" s="3">
        <v>62.188904000000001</v>
      </c>
      <c r="AG220" s="7">
        <f t="shared" si="78"/>
        <v>-2.2912470064088697E-2</v>
      </c>
      <c r="AH220" s="3">
        <v>21.095039</v>
      </c>
      <c r="AI220" s="7">
        <f t="shared" si="79"/>
        <v>-3.0769240665272868E-2</v>
      </c>
      <c r="AJ220" s="3">
        <v>72.141867000000005</v>
      </c>
      <c r="AK220" s="7">
        <f t="shared" si="80"/>
        <v>-2.0202031177005475E-2</v>
      </c>
      <c r="AL220" s="3">
        <v>3.75</v>
      </c>
      <c r="AM220" s="7">
        <f t="shared" si="81"/>
        <v>-1.5748031496062964E-2</v>
      </c>
      <c r="AN220" s="3">
        <v>0.67</v>
      </c>
      <c r="AO220" s="7">
        <f t="shared" si="82"/>
        <v>8.0645161290322731E-2</v>
      </c>
      <c r="AP220" s="3">
        <v>7.77</v>
      </c>
      <c r="AQ220" s="7">
        <f t="shared" si="83"/>
        <v>3.0503978779840679E-2</v>
      </c>
    </row>
    <row r="221" spans="1:43" x14ac:dyDescent="0.3">
      <c r="A221" s="4">
        <v>42376</v>
      </c>
      <c r="B221" s="3">
        <v>16514.099609000001</v>
      </c>
      <c r="C221" s="7">
        <f t="shared" si="63"/>
        <v>-2.3210595352398444E-2</v>
      </c>
      <c r="D221" s="3">
        <v>94.350769</v>
      </c>
      <c r="E221" s="7">
        <f t="shared" si="64"/>
        <v>-4.2204569062162411E-2</v>
      </c>
      <c r="F221" s="3">
        <v>89.110000999999997</v>
      </c>
      <c r="G221" s="7">
        <f t="shared" si="65"/>
        <v>-2.0984355778434161E-2</v>
      </c>
      <c r="H221" s="3">
        <v>51.119701999999997</v>
      </c>
      <c r="I221" s="7">
        <f t="shared" si="66"/>
        <v>-3.4782637428390717E-2</v>
      </c>
      <c r="J221" s="3">
        <v>34.647708999999999</v>
      </c>
      <c r="K221" s="7">
        <f t="shared" si="67"/>
        <v>-2.1775503102503757E-2</v>
      </c>
      <c r="L221" s="3">
        <v>75.918398999999994</v>
      </c>
      <c r="M221" s="7">
        <f t="shared" si="68"/>
        <v>-5.666484625926782E-3</v>
      </c>
      <c r="N221" s="3">
        <v>15.317752</v>
      </c>
      <c r="O221" s="7">
        <f t="shared" si="69"/>
        <v>-3.6069688293317914E-2</v>
      </c>
      <c r="P221" s="3">
        <v>47.123925</v>
      </c>
      <c r="Q221" s="7">
        <f t="shared" si="70"/>
        <v>-5.1077366395189672E-2</v>
      </c>
      <c r="R221" s="3">
        <v>6.9638770000000001</v>
      </c>
      <c r="S221" s="7">
        <f t="shared" si="71"/>
        <v>-3.1335136977250433E-2</v>
      </c>
      <c r="T221" s="3">
        <v>58.936494000000003</v>
      </c>
      <c r="U221" s="7">
        <f t="shared" si="72"/>
        <v>-4.0439433896573784E-2</v>
      </c>
      <c r="V221" s="3">
        <v>48.830615999999999</v>
      </c>
      <c r="W221" s="7">
        <f t="shared" si="73"/>
        <v>-2.8527372512438198E-2</v>
      </c>
      <c r="X221" s="3">
        <v>153.06230600000001</v>
      </c>
      <c r="Y221" s="7">
        <f t="shared" si="74"/>
        <v>-2.29093660335562E-2</v>
      </c>
      <c r="Z221" s="3">
        <v>123.438721</v>
      </c>
      <c r="AA221" s="7">
        <f t="shared" si="75"/>
        <v>-2.85094505469079E-2</v>
      </c>
      <c r="AB221" s="3">
        <v>7.26</v>
      </c>
      <c r="AC221" s="7">
        <f t="shared" si="76"/>
        <v>3.7142857142857144E-2</v>
      </c>
      <c r="AD221" s="3">
        <v>71.534459999999996</v>
      </c>
      <c r="AE221" s="7">
        <f t="shared" si="77"/>
        <v>-2.6998478908863976E-3</v>
      </c>
      <c r="AF221" s="3">
        <v>63.647219</v>
      </c>
      <c r="AG221" s="7">
        <f t="shared" si="78"/>
        <v>2.3288738074708659E-2</v>
      </c>
      <c r="AH221" s="3">
        <v>21.764723</v>
      </c>
      <c r="AI221" s="7">
        <f t="shared" si="79"/>
        <v>-3.1975460565829783E-2</v>
      </c>
      <c r="AJ221" s="3">
        <v>73.629328999999998</v>
      </c>
      <c r="AK221" s="7">
        <f t="shared" si="80"/>
        <v>-1.6006169322010821E-2</v>
      </c>
      <c r="AL221" s="3">
        <v>3.81</v>
      </c>
      <c r="AM221" s="7">
        <f t="shared" si="81"/>
        <v>-3.5443037974683622E-2</v>
      </c>
      <c r="AN221" s="3">
        <v>0.62</v>
      </c>
      <c r="AO221" s="7">
        <f t="shared" si="82"/>
        <v>-6.0606060606060663E-2</v>
      </c>
      <c r="AP221" s="3">
        <v>7.54</v>
      </c>
      <c r="AQ221" s="7">
        <f t="shared" si="83"/>
        <v>-4.6776232616940638E-2</v>
      </c>
    </row>
    <row r="222" spans="1:43" x14ac:dyDescent="0.3">
      <c r="A222" s="4">
        <v>42375</v>
      </c>
      <c r="B222" s="3">
        <v>16906.509765999999</v>
      </c>
      <c r="C222" s="7">
        <f t="shared" si="63"/>
        <v>-1.4695226067044098E-2</v>
      </c>
      <c r="D222" s="3">
        <v>98.508268000000001</v>
      </c>
      <c r="E222" s="7">
        <f t="shared" si="64"/>
        <v>-1.9569687332578911E-2</v>
      </c>
      <c r="F222" s="3">
        <v>91.019997000000004</v>
      </c>
      <c r="G222" s="7">
        <f t="shared" si="65"/>
        <v>-1.4294986540826726E-2</v>
      </c>
      <c r="H222" s="3">
        <v>52.961855</v>
      </c>
      <c r="I222" s="7">
        <f t="shared" si="66"/>
        <v>-1.8165307771129235E-2</v>
      </c>
      <c r="J222" s="3">
        <v>35.418975000000003</v>
      </c>
      <c r="K222" s="7">
        <f t="shared" si="67"/>
        <v>5.0505107830400853E-3</v>
      </c>
      <c r="L222" s="3">
        <v>76.351040999999995</v>
      </c>
      <c r="M222" s="7">
        <f t="shared" si="68"/>
        <v>8.8346148991860218E-3</v>
      </c>
      <c r="N222" s="3">
        <v>15.890933</v>
      </c>
      <c r="O222" s="7">
        <f t="shared" si="69"/>
        <v>-2.1302511366451227E-2</v>
      </c>
      <c r="P222" s="3">
        <v>49.660449999999997</v>
      </c>
      <c r="Q222" s="7">
        <f t="shared" si="70"/>
        <v>-1.4549765043884832E-2</v>
      </c>
      <c r="R222" s="3">
        <v>7.1891499999999997</v>
      </c>
      <c r="S222" s="7">
        <f t="shared" si="71"/>
        <v>-3.1662324570749467E-2</v>
      </c>
      <c r="T222" s="3">
        <v>61.420296</v>
      </c>
      <c r="U222" s="7">
        <f t="shared" si="72"/>
        <v>-1.4435877416375531E-2</v>
      </c>
      <c r="V222" s="3">
        <v>50.264530999999998</v>
      </c>
      <c r="W222" s="7">
        <f t="shared" si="73"/>
        <v>-1.9096198337340442E-2</v>
      </c>
      <c r="X222" s="3">
        <v>156.651083</v>
      </c>
      <c r="Y222" s="7">
        <f t="shared" si="74"/>
        <v>-9.254022071985335E-3</v>
      </c>
      <c r="Z222" s="3">
        <v>127.061165</v>
      </c>
      <c r="AA222" s="7">
        <f t="shared" si="75"/>
        <v>-1.0350312059248301E-2</v>
      </c>
      <c r="AB222" s="3">
        <v>7</v>
      </c>
      <c r="AC222" s="7">
        <f t="shared" si="76"/>
        <v>-2.3709902370990243E-2</v>
      </c>
      <c r="AD222" s="3">
        <v>71.728115000000003</v>
      </c>
      <c r="AE222" s="7">
        <f t="shared" si="77"/>
        <v>-1.0154920966873204E-2</v>
      </c>
      <c r="AF222" s="3">
        <v>62.198689999999999</v>
      </c>
      <c r="AG222" s="7">
        <f t="shared" si="78"/>
        <v>1.00127334110236E-2</v>
      </c>
      <c r="AH222" s="3">
        <v>22.483647999999999</v>
      </c>
      <c r="AI222" s="7">
        <f t="shared" si="79"/>
        <v>-9.1162434945084803E-2</v>
      </c>
      <c r="AJ222" s="3">
        <v>74.827022999999997</v>
      </c>
      <c r="AK222" s="7">
        <f t="shared" si="80"/>
        <v>-8.3205520694898949E-3</v>
      </c>
      <c r="AL222" s="3">
        <v>3.95</v>
      </c>
      <c r="AM222" s="7">
        <f t="shared" si="81"/>
        <v>-5.5023923444975975E-2</v>
      </c>
      <c r="AN222" s="3">
        <v>0.66</v>
      </c>
      <c r="AO222" s="7">
        <f t="shared" si="82"/>
        <v>-9.5890410958904049E-2</v>
      </c>
      <c r="AP222" s="3">
        <v>7.91</v>
      </c>
      <c r="AQ222" s="7">
        <f t="shared" si="83"/>
        <v>-0.12499999999999989</v>
      </c>
    </row>
    <row r="223" spans="1:43" x14ac:dyDescent="0.3">
      <c r="A223" s="4">
        <v>42374</v>
      </c>
      <c r="B223" s="3">
        <v>17158.660156000002</v>
      </c>
      <c r="C223" s="7">
        <f t="shared" si="63"/>
        <v>5.6683989273187407E-4</v>
      </c>
      <c r="D223" s="3">
        <v>100.474523</v>
      </c>
      <c r="E223" s="7">
        <f t="shared" si="64"/>
        <v>-2.5059320776490535E-2</v>
      </c>
      <c r="F223" s="3">
        <v>92.339995999999999</v>
      </c>
      <c r="G223" s="7">
        <f t="shared" si="65"/>
        <v>4.0229965855931304E-3</v>
      </c>
      <c r="H223" s="3">
        <v>53.941723000000003</v>
      </c>
      <c r="I223" s="7">
        <f t="shared" si="66"/>
        <v>4.562044679198074E-3</v>
      </c>
      <c r="J223" s="3">
        <v>35.240989999999996</v>
      </c>
      <c r="K223" s="7">
        <f t="shared" si="67"/>
        <v>-3.0769375259390719E-3</v>
      </c>
      <c r="L223" s="3">
        <v>75.682416000000003</v>
      </c>
      <c r="M223" s="7">
        <f t="shared" si="68"/>
        <v>-2.2037698802540584E-3</v>
      </c>
      <c r="N223" s="3">
        <v>16.236818</v>
      </c>
      <c r="O223" s="7">
        <f t="shared" si="69"/>
        <v>0</v>
      </c>
      <c r="P223" s="3">
        <v>50.393666000000003</v>
      </c>
      <c r="Q223" s="7">
        <f t="shared" si="70"/>
        <v>-5.2806693786571213E-3</v>
      </c>
      <c r="R223" s="3">
        <v>7.4242179999999998</v>
      </c>
      <c r="S223" s="7">
        <f t="shared" si="71"/>
        <v>-7.8534167848793857E-3</v>
      </c>
      <c r="T223" s="3">
        <v>62.319938999999998</v>
      </c>
      <c r="U223" s="7">
        <f t="shared" si="72"/>
        <v>1.7290290747955517E-3</v>
      </c>
      <c r="V223" s="3">
        <v>51.243079000000002</v>
      </c>
      <c r="W223" s="7">
        <f t="shared" si="73"/>
        <v>-3.7801543535054272E-4</v>
      </c>
      <c r="X223" s="3">
        <v>158.11427599999999</v>
      </c>
      <c r="Y223" s="7">
        <f t="shared" si="74"/>
        <v>2.4445201651785986E-3</v>
      </c>
      <c r="Z223" s="3">
        <v>128.39004199999999</v>
      </c>
      <c r="AA223" s="7">
        <f t="shared" si="75"/>
        <v>-4.8829931435616647E-3</v>
      </c>
      <c r="AB223" s="3">
        <v>7.17</v>
      </c>
      <c r="AC223" s="7">
        <f t="shared" si="76"/>
        <v>2.8694404591104838E-2</v>
      </c>
      <c r="AD223" s="3">
        <v>72.463981000000004</v>
      </c>
      <c r="AE223" s="7">
        <f t="shared" si="77"/>
        <v>1.7539001857222791E-2</v>
      </c>
      <c r="AF223" s="3">
        <v>61.582084999999999</v>
      </c>
      <c r="AG223" s="7">
        <f t="shared" si="78"/>
        <v>2.3755272190237209E-2</v>
      </c>
      <c r="AH223" s="3">
        <v>24.738907000000001</v>
      </c>
      <c r="AI223" s="7">
        <f t="shared" si="79"/>
        <v>-5.0283564688182403E-2</v>
      </c>
      <c r="AJ223" s="3">
        <v>75.454848999999996</v>
      </c>
      <c r="AK223" s="7">
        <f t="shared" si="80"/>
        <v>8.5205757455066866E-3</v>
      </c>
      <c r="AL223" s="3">
        <v>4.18</v>
      </c>
      <c r="AM223" s="7">
        <f t="shared" si="81"/>
        <v>-1.8779342723004744E-2</v>
      </c>
      <c r="AN223" s="3">
        <v>0.73</v>
      </c>
      <c r="AO223" s="7">
        <f t="shared" si="82"/>
        <v>2.8169014084507005E-2</v>
      </c>
      <c r="AP223" s="3">
        <v>9.0399999999999991</v>
      </c>
      <c r="AQ223" s="7">
        <f t="shared" si="83"/>
        <v>-5.1416579223504733E-2</v>
      </c>
    </row>
    <row r="224" spans="1:43" x14ac:dyDescent="0.3">
      <c r="A224" s="4">
        <v>42373</v>
      </c>
      <c r="B224" s="3">
        <v>17148.939452999999</v>
      </c>
      <c r="C224" s="7">
        <f t="shared" si="63"/>
        <v>-1.5844440734887888E-2</v>
      </c>
      <c r="D224" s="3">
        <v>103.057063</v>
      </c>
      <c r="E224" s="7">
        <f t="shared" si="64"/>
        <v>8.549949851424099E-4</v>
      </c>
      <c r="F224" s="3">
        <v>91.970000999999996</v>
      </c>
      <c r="G224" s="7">
        <f t="shared" si="65"/>
        <v>-2.0970842644861931E-2</v>
      </c>
      <c r="H224" s="3">
        <v>53.696756000000001</v>
      </c>
      <c r="I224" s="7">
        <f t="shared" si="66"/>
        <v>-1.2256667054062031E-2</v>
      </c>
      <c r="J224" s="3">
        <v>35.349758999999999</v>
      </c>
      <c r="K224" s="7">
        <f t="shared" si="67"/>
        <v>-1.7317158031823321E-2</v>
      </c>
      <c r="L224" s="3">
        <v>75.849570999999997</v>
      </c>
      <c r="M224" s="7">
        <f t="shared" si="68"/>
        <v>-2.4778744381581674E-2</v>
      </c>
      <c r="N224" s="3">
        <v>16.236818</v>
      </c>
      <c r="O224" s="7">
        <f t="shared" si="69"/>
        <v>-2.3767032861848003E-2</v>
      </c>
      <c r="P224" s="3">
        <v>50.661191000000002</v>
      </c>
      <c r="Q224" s="7">
        <f t="shared" si="70"/>
        <v>-1.1980652360225386E-2</v>
      </c>
      <c r="R224" s="3">
        <v>7.4829850000000002</v>
      </c>
      <c r="S224" s="7">
        <f t="shared" si="71"/>
        <v>-2.4265622473621296E-2</v>
      </c>
      <c r="T224" s="3">
        <v>62.212372000000002</v>
      </c>
      <c r="U224" s="7">
        <f t="shared" si="72"/>
        <v>-3.0035041357114656E-2</v>
      </c>
      <c r="V224" s="3">
        <v>51.262456999999998</v>
      </c>
      <c r="W224" s="7">
        <f t="shared" si="73"/>
        <v>-2.667402429886967E-2</v>
      </c>
      <c r="X224" s="3">
        <v>157.72870499999999</v>
      </c>
      <c r="Y224" s="7">
        <f t="shared" si="74"/>
        <v>-1.2136262131297149E-2</v>
      </c>
      <c r="Z224" s="3">
        <v>129.02004600000001</v>
      </c>
      <c r="AA224" s="7">
        <f t="shared" si="75"/>
        <v>-8.9224448213810481E-3</v>
      </c>
      <c r="AB224" s="3">
        <v>6.97</v>
      </c>
      <c r="AC224" s="7">
        <f t="shared" si="76"/>
        <v>4.6546546546546441E-2</v>
      </c>
      <c r="AD224" s="3">
        <v>71.214941999999994</v>
      </c>
      <c r="AE224" s="7">
        <f t="shared" si="77"/>
        <v>1.2945904405963216E-2</v>
      </c>
      <c r="AF224" s="3">
        <v>60.153131000000002</v>
      </c>
      <c r="AG224" s="7">
        <f t="shared" si="78"/>
        <v>2.6101174879555877E-3</v>
      </c>
      <c r="AH224" s="3">
        <v>26.048729999999999</v>
      </c>
      <c r="AI224" s="7">
        <f t="shared" si="79"/>
        <v>2.123560085610765E-2</v>
      </c>
      <c r="AJ224" s="3">
        <v>74.817362000000003</v>
      </c>
      <c r="AK224" s="7">
        <f t="shared" si="80"/>
        <v>-6.2860533678800179E-3</v>
      </c>
      <c r="AL224" s="3">
        <v>4.26</v>
      </c>
      <c r="AM224" s="7">
        <f t="shared" si="81"/>
        <v>-9.302325581395321E-3</v>
      </c>
      <c r="AN224" s="3">
        <v>0.71</v>
      </c>
      <c r="AO224" s="7">
        <f t="shared" si="82"/>
        <v>-7.7922077922077948E-2</v>
      </c>
      <c r="AP224" s="3">
        <v>9.5299999999999994</v>
      </c>
      <c r="AQ224" s="7">
        <f t="shared" si="83"/>
        <v>9.5338983050847759E-3</v>
      </c>
    </row>
    <row r="225" spans="1:43" x14ac:dyDescent="0.3">
      <c r="A225" s="4">
        <v>42369</v>
      </c>
      <c r="B225" s="3">
        <v>17425.029297000001</v>
      </c>
      <c r="C225" s="7">
        <f t="shared" si="63"/>
        <v>-1.0159121416295602E-2</v>
      </c>
      <c r="D225" s="3">
        <v>102.969025</v>
      </c>
      <c r="E225" s="7">
        <f t="shared" si="64"/>
        <v>-1.9194909801035109E-2</v>
      </c>
      <c r="F225" s="3">
        <v>93.940002000000007</v>
      </c>
      <c r="G225" s="7">
        <f t="shared" si="65"/>
        <v>-1.4063780584212648E-2</v>
      </c>
      <c r="H225" s="3">
        <v>54.363066000000003</v>
      </c>
      <c r="I225" s="7">
        <f t="shared" si="66"/>
        <v>-1.4739863765564132E-2</v>
      </c>
      <c r="J225" s="3">
        <v>35.972704</v>
      </c>
      <c r="K225" s="7">
        <f t="shared" si="67"/>
        <v>-1.0563374277032578E-2</v>
      </c>
      <c r="L225" s="3">
        <v>77.776781999999997</v>
      </c>
      <c r="M225" s="7">
        <f t="shared" si="68"/>
        <v>-1.3100472254388484E-2</v>
      </c>
      <c r="N225" s="3">
        <v>16.632114000000001</v>
      </c>
      <c r="O225" s="7">
        <f t="shared" si="69"/>
        <v>-1.2903210873515758E-2</v>
      </c>
      <c r="P225" s="3">
        <v>51.275505000000003</v>
      </c>
      <c r="Q225" s="7">
        <f t="shared" si="70"/>
        <v>-1.0516232188671593E-2</v>
      </c>
      <c r="R225" s="3">
        <v>7.6690800000000001</v>
      </c>
      <c r="S225" s="7">
        <f t="shared" si="71"/>
        <v>6.4266805667321236E-3</v>
      </c>
      <c r="T225" s="3">
        <v>64.138783000000004</v>
      </c>
      <c r="U225" s="7">
        <f t="shared" si="72"/>
        <v>-8.4096465792993236E-3</v>
      </c>
      <c r="V225" s="3">
        <v>52.667306000000004</v>
      </c>
      <c r="W225" s="7">
        <f t="shared" si="73"/>
        <v>-9.6556648393530953E-3</v>
      </c>
      <c r="X225" s="3">
        <v>159.666459</v>
      </c>
      <c r="Y225" s="7">
        <f t="shared" si="74"/>
        <v>-7.4365828235860576E-3</v>
      </c>
      <c r="Z225" s="3">
        <v>130.18158399999999</v>
      </c>
      <c r="AA225" s="7">
        <f t="shared" si="75"/>
        <v>-8.2490082896439221E-3</v>
      </c>
      <c r="AB225" s="3">
        <v>6.66</v>
      </c>
      <c r="AC225" s="7">
        <f t="shared" si="76"/>
        <v>-1.6248153618906858E-2</v>
      </c>
      <c r="AD225" s="3">
        <v>70.304783</v>
      </c>
      <c r="AE225" s="7">
        <f t="shared" si="77"/>
        <v>-1.371913136872438E-2</v>
      </c>
      <c r="AF225" s="3">
        <v>59.996532999999999</v>
      </c>
      <c r="AG225" s="7">
        <f t="shared" si="78"/>
        <v>-6.1608501685334049E-3</v>
      </c>
      <c r="AH225" s="3">
        <v>25.507072000000001</v>
      </c>
      <c r="AI225" s="7">
        <f t="shared" si="79"/>
        <v>1.014038365266634E-2</v>
      </c>
      <c r="AJ225" s="3">
        <v>75.290643000000003</v>
      </c>
      <c r="AK225" s="7">
        <f t="shared" si="80"/>
        <v>-2.0484407832610518E-3</v>
      </c>
      <c r="AL225" s="3">
        <v>4.3</v>
      </c>
      <c r="AM225" s="7">
        <f t="shared" si="81"/>
        <v>1.1764705882352899E-2</v>
      </c>
      <c r="AN225" s="3">
        <v>0.77</v>
      </c>
      <c r="AO225" s="7">
        <f t="shared" si="82"/>
        <v>1.3157894736842035E-2</v>
      </c>
      <c r="AP225" s="3">
        <v>9.44</v>
      </c>
      <c r="AQ225" s="7">
        <f t="shared" si="83"/>
        <v>9.259259259259256E-2</v>
      </c>
    </row>
    <row r="226" spans="1:43" x14ac:dyDescent="0.3">
      <c r="A226" s="4">
        <v>42368</v>
      </c>
      <c r="B226" s="3">
        <v>17603.869140999999</v>
      </c>
      <c r="C226" s="7">
        <f t="shared" si="63"/>
        <v>-6.608625758877551E-3</v>
      </c>
      <c r="D226" s="3">
        <v>104.98418700000001</v>
      </c>
      <c r="E226" s="7">
        <f t="shared" si="64"/>
        <v>-1.3058655454251777E-2</v>
      </c>
      <c r="F226" s="3">
        <v>95.279999000000004</v>
      </c>
      <c r="G226" s="7">
        <f t="shared" si="65"/>
        <v>-5.24525322049052E-4</v>
      </c>
      <c r="H226" s="3">
        <v>55.176358</v>
      </c>
      <c r="I226" s="7">
        <f t="shared" si="66"/>
        <v>-4.2439908348306243E-3</v>
      </c>
      <c r="J226" s="3">
        <v>36.356754000000002</v>
      </c>
      <c r="K226" s="7">
        <f t="shared" si="67"/>
        <v>-3.2398146606247291E-3</v>
      </c>
      <c r="L226" s="3">
        <v>78.809219999999996</v>
      </c>
      <c r="M226" s="7">
        <f t="shared" si="68"/>
        <v>-9.3931849121233757E-3</v>
      </c>
      <c r="N226" s="3">
        <v>16.849526999999998</v>
      </c>
      <c r="O226" s="7">
        <f t="shared" si="69"/>
        <v>-1.3310261908186183E-2</v>
      </c>
      <c r="P226" s="3">
        <v>51.820461000000002</v>
      </c>
      <c r="Q226" s="7">
        <f t="shared" si="70"/>
        <v>-1.2835049461724646E-2</v>
      </c>
      <c r="R226" s="3">
        <v>7.6201080000000001</v>
      </c>
      <c r="S226" s="7">
        <f t="shared" si="71"/>
        <v>-1.3941658006427882E-2</v>
      </c>
      <c r="T226" s="3">
        <v>64.682742000000005</v>
      </c>
      <c r="U226" s="7">
        <f t="shared" si="72"/>
        <v>-7.1567487063536328E-3</v>
      </c>
      <c r="V226" s="3">
        <v>53.180802</v>
      </c>
      <c r="W226" s="7">
        <f t="shared" si="73"/>
        <v>-7.2346080188995243E-3</v>
      </c>
      <c r="X226" s="3">
        <v>160.862728</v>
      </c>
      <c r="Y226" s="7">
        <f t="shared" si="74"/>
        <v>3.0740617941349413E-4</v>
      </c>
      <c r="Z226" s="3">
        <v>131.264385</v>
      </c>
      <c r="AA226" s="7">
        <f t="shared" si="75"/>
        <v>-2.6177332594112812E-3</v>
      </c>
      <c r="AB226" s="3">
        <v>6.77</v>
      </c>
      <c r="AC226" s="7">
        <f t="shared" si="76"/>
        <v>-1.023391812865504E-2</v>
      </c>
      <c r="AD226" s="3">
        <v>71.282719999999998</v>
      </c>
      <c r="AE226" s="7">
        <f t="shared" si="77"/>
        <v>-1.1015573052290395E-2</v>
      </c>
      <c r="AF226" s="3">
        <v>60.368454</v>
      </c>
      <c r="AG226" s="7">
        <f t="shared" si="78"/>
        <v>1.1361702282206565E-3</v>
      </c>
      <c r="AH226" s="3">
        <v>25.251017000000001</v>
      </c>
      <c r="AI226" s="7">
        <f t="shared" si="79"/>
        <v>-1.6494073846207047E-2</v>
      </c>
      <c r="AJ226" s="3">
        <v>75.445188000000002</v>
      </c>
      <c r="AK226" s="7">
        <f t="shared" si="80"/>
        <v>-1.3264312971246084E-2</v>
      </c>
      <c r="AL226" s="3">
        <v>4.25</v>
      </c>
      <c r="AM226" s="7">
        <f t="shared" si="81"/>
        <v>-3.8461538461538436E-2</v>
      </c>
      <c r="AN226" s="3">
        <v>0.76</v>
      </c>
      <c r="AO226" s="7">
        <f t="shared" si="82"/>
        <v>-7.3170731707317027E-2</v>
      </c>
      <c r="AP226" s="3">
        <v>8.64</v>
      </c>
      <c r="AQ226" s="7">
        <f t="shared" si="83"/>
        <v>-5.366922234392113E-2</v>
      </c>
    </row>
    <row r="227" spans="1:43" x14ac:dyDescent="0.3">
      <c r="A227" s="4">
        <v>42367</v>
      </c>
      <c r="B227" s="3">
        <v>17720.980468999998</v>
      </c>
      <c r="C227" s="7">
        <f t="shared" si="63"/>
        <v>1.0994293398967514E-2</v>
      </c>
      <c r="D227" s="3">
        <v>106.373279</v>
      </c>
      <c r="E227" s="7">
        <f t="shared" si="64"/>
        <v>1.7974149574464526E-2</v>
      </c>
      <c r="F227" s="3">
        <v>95.330001999999993</v>
      </c>
      <c r="G227" s="7">
        <f t="shared" si="65"/>
        <v>1.1995807176087281E-2</v>
      </c>
      <c r="H227" s="3">
        <v>55.411524</v>
      </c>
      <c r="I227" s="7">
        <f t="shared" si="66"/>
        <v>1.0723829635063131E-2</v>
      </c>
      <c r="J227" s="3">
        <v>36.474926000000004</v>
      </c>
      <c r="K227" s="7">
        <f t="shared" si="67"/>
        <v>6.7953232709720979E-3</v>
      </c>
      <c r="L227" s="3">
        <v>79.556509000000005</v>
      </c>
      <c r="M227" s="7">
        <f t="shared" si="68"/>
        <v>7.471126378337134E-3</v>
      </c>
      <c r="N227" s="3">
        <v>17.076823999999998</v>
      </c>
      <c r="O227" s="7">
        <f t="shared" si="69"/>
        <v>8.7566675681003403E-3</v>
      </c>
      <c r="P227" s="3">
        <v>52.494227000000002</v>
      </c>
      <c r="Q227" s="7">
        <f t="shared" si="70"/>
        <v>1.1454722404143691E-2</v>
      </c>
      <c r="R227" s="3">
        <v>7.7278469999999997</v>
      </c>
      <c r="S227" s="7">
        <f t="shared" si="71"/>
        <v>-5.0441449589773146E-3</v>
      </c>
      <c r="T227" s="3">
        <v>65.148996999999994</v>
      </c>
      <c r="U227" s="7">
        <f t="shared" si="72"/>
        <v>1.0394741325425949E-2</v>
      </c>
      <c r="V227" s="3">
        <v>53.568348</v>
      </c>
      <c r="W227" s="7">
        <f t="shared" si="73"/>
        <v>1.1155825824557208E-2</v>
      </c>
      <c r="X227" s="3">
        <v>160.81329299999999</v>
      </c>
      <c r="Y227" s="7">
        <f t="shared" si="74"/>
        <v>9.3075189460325447E-3</v>
      </c>
      <c r="Z227" s="3">
        <v>131.608902</v>
      </c>
      <c r="AA227" s="7">
        <f t="shared" si="75"/>
        <v>7.687700665881092E-3</v>
      </c>
      <c r="AB227" s="3">
        <v>6.84</v>
      </c>
      <c r="AC227" s="7">
        <f t="shared" si="76"/>
        <v>-1.013024602026058E-2</v>
      </c>
      <c r="AD227" s="3">
        <v>72.076685999999995</v>
      </c>
      <c r="AE227" s="7">
        <f t="shared" si="77"/>
        <v>2.154522054868635E-2</v>
      </c>
      <c r="AF227" s="3">
        <v>60.299942999999999</v>
      </c>
      <c r="AG227" s="7">
        <f t="shared" si="78"/>
        <v>1.4156392044572863E-2</v>
      </c>
      <c r="AH227" s="3">
        <v>25.674493999999999</v>
      </c>
      <c r="AI227" s="7">
        <f t="shared" si="79"/>
        <v>9.2915223541347736E-3</v>
      </c>
      <c r="AJ227" s="3">
        <v>76.459368999999995</v>
      </c>
      <c r="AK227" s="7">
        <f t="shared" si="80"/>
        <v>5.3340868711539979E-3</v>
      </c>
      <c r="AL227" s="3">
        <v>4.42</v>
      </c>
      <c r="AM227" s="7">
        <f t="shared" si="81"/>
        <v>-6.741573033707926E-3</v>
      </c>
      <c r="AN227" s="3">
        <v>0.82</v>
      </c>
      <c r="AO227" s="7">
        <f t="shared" si="82"/>
        <v>0.18840579710144922</v>
      </c>
      <c r="AP227" s="3">
        <v>9.1300000000000008</v>
      </c>
      <c r="AQ227" s="7">
        <f t="shared" si="83"/>
        <v>3.6322360953461974E-2</v>
      </c>
    </row>
    <row r="228" spans="1:43" x14ac:dyDescent="0.3">
      <c r="A228" s="4">
        <v>42366</v>
      </c>
      <c r="B228" s="3">
        <v>17528.269531000002</v>
      </c>
      <c r="C228" s="7">
        <f t="shared" si="63"/>
        <v>-1.3616772801431365E-3</v>
      </c>
      <c r="D228" s="3">
        <v>104.495069</v>
      </c>
      <c r="E228" s="7">
        <f t="shared" si="64"/>
        <v>-1.1200588485480778E-2</v>
      </c>
      <c r="F228" s="3">
        <v>94.199996999999996</v>
      </c>
      <c r="G228" s="7">
        <f t="shared" si="65"/>
        <v>-1.0605089800475032E-3</v>
      </c>
      <c r="H228" s="3">
        <v>54.823605000000001</v>
      </c>
      <c r="I228" s="7">
        <f t="shared" si="66"/>
        <v>5.0296759404897529E-3</v>
      </c>
      <c r="J228" s="3">
        <v>36.228740000000002</v>
      </c>
      <c r="K228" s="7">
        <f t="shared" si="67"/>
        <v>-5.9442649261917113E-3</v>
      </c>
      <c r="L228" s="3">
        <v>78.966539999999995</v>
      </c>
      <c r="M228" s="7">
        <f t="shared" si="68"/>
        <v>3.2479112738827975E-3</v>
      </c>
      <c r="N228" s="3">
        <v>16.928585999999999</v>
      </c>
      <c r="O228" s="7">
        <f t="shared" si="69"/>
        <v>-8.1066079738600916E-3</v>
      </c>
      <c r="P228" s="3">
        <v>51.899729999999998</v>
      </c>
      <c r="Q228" s="7">
        <f t="shared" si="70"/>
        <v>-6.2606289020510353E-3</v>
      </c>
      <c r="R228" s="3">
        <v>7.7670250000000003</v>
      </c>
      <c r="S228" s="7">
        <f t="shared" si="71"/>
        <v>3.7975398445082575E-3</v>
      </c>
      <c r="T228" s="3">
        <v>64.478757000000002</v>
      </c>
      <c r="U228" s="7">
        <f t="shared" si="72"/>
        <v>-3.3033217458412478E-3</v>
      </c>
      <c r="V228" s="3">
        <v>52.977342</v>
      </c>
      <c r="W228" s="7">
        <f t="shared" si="73"/>
        <v>-2.553801253335819E-3</v>
      </c>
      <c r="X228" s="3">
        <v>159.33032299999999</v>
      </c>
      <c r="Y228" s="7">
        <f t="shared" si="74"/>
        <v>-3.6475817153812651E-3</v>
      </c>
      <c r="Z228" s="3">
        <v>130.604851</v>
      </c>
      <c r="AA228" s="7">
        <f t="shared" si="75"/>
        <v>-1.6553941490863311E-3</v>
      </c>
      <c r="AB228" s="3">
        <v>6.91</v>
      </c>
      <c r="AC228" s="7">
        <f t="shared" si="76"/>
        <v>-7.1839080459770166E-3</v>
      </c>
      <c r="AD228" s="3">
        <v>70.556529999999995</v>
      </c>
      <c r="AE228" s="7">
        <f t="shared" si="77"/>
        <v>-4.099990003811449E-3</v>
      </c>
      <c r="AF228" s="3">
        <v>59.458229000000003</v>
      </c>
      <c r="AG228" s="7">
        <f t="shared" si="78"/>
        <v>-1.3151757416832721E-3</v>
      </c>
      <c r="AH228" s="3">
        <v>25.438134999999999</v>
      </c>
      <c r="AI228" s="7">
        <f t="shared" si="79"/>
        <v>-2.5283000938387201E-2</v>
      </c>
      <c r="AJ228" s="3">
        <v>76.053691999999998</v>
      </c>
      <c r="AK228" s="7">
        <f t="shared" si="80"/>
        <v>-7.4373461700453225E-3</v>
      </c>
      <c r="AL228" s="3">
        <v>4.45</v>
      </c>
      <c r="AM228" s="7">
        <f t="shared" si="81"/>
        <v>-1.7660044150110354E-2</v>
      </c>
      <c r="AN228" s="3">
        <v>0.69</v>
      </c>
      <c r="AO228" s="7">
        <f t="shared" si="82"/>
        <v>-0.11538461538461553</v>
      </c>
      <c r="AP228" s="3">
        <v>8.81</v>
      </c>
      <c r="AQ228" s="7">
        <f t="shared" si="83"/>
        <v>-0.12599206349206349</v>
      </c>
    </row>
    <row r="229" spans="1:43" x14ac:dyDescent="0.3">
      <c r="A229" s="4">
        <v>42362</v>
      </c>
      <c r="B229" s="3">
        <v>17552.169922000001</v>
      </c>
      <c r="C229" s="7">
        <f t="shared" si="63"/>
        <v>-2.8654531794379823E-3</v>
      </c>
      <c r="D229" s="3">
        <v>105.67873299999999</v>
      </c>
      <c r="E229" s="7">
        <f t="shared" si="64"/>
        <v>-5.3402237000468311E-3</v>
      </c>
      <c r="F229" s="3">
        <v>94.300003000000004</v>
      </c>
      <c r="G229" s="7">
        <f t="shared" si="65"/>
        <v>-4.2238016121584065E-3</v>
      </c>
      <c r="H229" s="3">
        <v>54.549239999999998</v>
      </c>
      <c r="I229" s="7">
        <f t="shared" si="66"/>
        <v>-2.6872240405786396E-3</v>
      </c>
      <c r="J229" s="3">
        <v>36.445380999999998</v>
      </c>
      <c r="K229" s="7">
        <f t="shared" si="67"/>
        <v>2.1662182744976999E-3</v>
      </c>
      <c r="L229" s="3">
        <v>78.710893999999996</v>
      </c>
      <c r="M229" s="7">
        <f t="shared" si="68"/>
        <v>3.0072034239123635E-3</v>
      </c>
      <c r="N229" s="3">
        <v>17.066941</v>
      </c>
      <c r="O229" s="7">
        <f t="shared" si="69"/>
        <v>-4.0369119773802087E-3</v>
      </c>
      <c r="P229" s="3">
        <v>52.226702000000003</v>
      </c>
      <c r="Q229" s="7">
        <f t="shared" si="70"/>
        <v>1.5199979719042744E-3</v>
      </c>
      <c r="R229" s="3">
        <v>7.737641</v>
      </c>
      <c r="S229" s="7">
        <f t="shared" si="71"/>
        <v>5.089067778853984E-3</v>
      </c>
      <c r="T229" s="3">
        <v>64.692457000000005</v>
      </c>
      <c r="U229" s="7">
        <f t="shared" si="72"/>
        <v>-1.9482329022165734E-3</v>
      </c>
      <c r="V229" s="3">
        <v>53.112982000000002</v>
      </c>
      <c r="W229" s="7">
        <f t="shared" si="73"/>
        <v>-3.9971022087257335E-3</v>
      </c>
      <c r="X229" s="3">
        <v>159.91362100000001</v>
      </c>
      <c r="Y229" s="7">
        <f t="shared" si="74"/>
        <v>2.4731338254069257E-4</v>
      </c>
      <c r="Z229" s="3">
        <v>130.82141200000001</v>
      </c>
      <c r="AA229" s="7">
        <f t="shared" si="75"/>
        <v>-1.5776917039815874E-3</v>
      </c>
      <c r="AB229" s="3">
        <v>6.96</v>
      </c>
      <c r="AC229" s="7">
        <f t="shared" si="76"/>
        <v>-1.9718309859154903E-2</v>
      </c>
      <c r="AD229" s="3">
        <v>70.847002000000003</v>
      </c>
      <c r="AE229" s="7">
        <f t="shared" si="77"/>
        <v>-6.5173536720434244E-3</v>
      </c>
      <c r="AF229" s="3">
        <v>59.536529999999999</v>
      </c>
      <c r="AG229" s="7">
        <f t="shared" si="78"/>
        <v>-4.2559917044371343E-3</v>
      </c>
      <c r="AH229" s="3">
        <v>26.09797</v>
      </c>
      <c r="AI229" s="7">
        <f t="shared" si="79"/>
        <v>-1.4869902508321209E-2</v>
      </c>
      <c r="AJ229" s="3">
        <v>76.623568000000006</v>
      </c>
      <c r="AK229" s="7">
        <f t="shared" si="80"/>
        <v>-1.0724527523532923E-2</v>
      </c>
      <c r="AL229" s="3">
        <v>4.53</v>
      </c>
      <c r="AM229" s="7">
        <f t="shared" si="81"/>
        <v>-2.2026431718060735E-3</v>
      </c>
      <c r="AN229" s="3">
        <v>0.78</v>
      </c>
      <c r="AO229" s="7">
        <f t="shared" si="82"/>
        <v>-2.5000000000000022E-2</v>
      </c>
      <c r="AP229" s="3">
        <v>10.08</v>
      </c>
      <c r="AQ229" s="7">
        <f t="shared" si="83"/>
        <v>-5.352112676056342E-2</v>
      </c>
    </row>
    <row r="230" spans="1:43" x14ac:dyDescent="0.3">
      <c r="A230" s="4">
        <v>42361</v>
      </c>
      <c r="B230" s="3">
        <v>17602.609375</v>
      </c>
      <c r="C230" s="7">
        <f t="shared" si="63"/>
        <v>1.0641153808300663E-2</v>
      </c>
      <c r="D230" s="3">
        <v>106.246111</v>
      </c>
      <c r="E230" s="7">
        <f t="shared" si="64"/>
        <v>1.2869509632808418E-2</v>
      </c>
      <c r="F230" s="3">
        <v>94.699996999999996</v>
      </c>
      <c r="G230" s="7">
        <f t="shared" si="65"/>
        <v>9.3796312086975586E-3</v>
      </c>
      <c r="H230" s="3">
        <v>54.696221000000001</v>
      </c>
      <c r="I230" s="7">
        <f t="shared" si="66"/>
        <v>8.4914392705526254E-3</v>
      </c>
      <c r="J230" s="3">
        <v>36.366602999999998</v>
      </c>
      <c r="K230" s="7">
        <f t="shared" si="67"/>
        <v>9.292155621466458E-3</v>
      </c>
      <c r="L230" s="3">
        <v>78.474903999999995</v>
      </c>
      <c r="M230" s="7">
        <f t="shared" si="68"/>
        <v>8.9759692037656436E-3</v>
      </c>
      <c r="N230" s="3">
        <v>17.136118</v>
      </c>
      <c r="O230" s="7">
        <f t="shared" si="69"/>
        <v>1.5222485696131383E-2</v>
      </c>
      <c r="P230" s="3">
        <v>52.147438000000001</v>
      </c>
      <c r="Q230" s="7">
        <f t="shared" si="70"/>
        <v>1.1920838482125662E-2</v>
      </c>
      <c r="R230" s="3">
        <v>7.6984630000000003</v>
      </c>
      <c r="S230" s="7">
        <f t="shared" si="71"/>
        <v>1.681755773738014E-2</v>
      </c>
      <c r="T230" s="3">
        <v>64.818738999999994</v>
      </c>
      <c r="U230" s="7">
        <f t="shared" si="72"/>
        <v>1.5986662070760493E-2</v>
      </c>
      <c r="V230" s="3">
        <v>53.326132000000001</v>
      </c>
      <c r="W230" s="7">
        <f t="shared" si="73"/>
        <v>1.2881855238788376E-2</v>
      </c>
      <c r="X230" s="3">
        <v>159.87408199999999</v>
      </c>
      <c r="Y230" s="7">
        <f t="shared" si="74"/>
        <v>2.9771858786022953E-3</v>
      </c>
      <c r="Z230" s="3">
        <v>131.02813399999999</v>
      </c>
      <c r="AA230" s="7">
        <f t="shared" si="75"/>
        <v>9.3266328948646837E-3</v>
      </c>
      <c r="AB230" s="3">
        <v>7.1</v>
      </c>
      <c r="AC230" s="7">
        <f t="shared" si="76"/>
        <v>3.8011695906432719E-2</v>
      </c>
      <c r="AD230" s="3">
        <v>71.311766000000006</v>
      </c>
      <c r="AE230" s="7">
        <f t="shared" si="77"/>
        <v>1.4323108002481266E-2</v>
      </c>
      <c r="AF230" s="3">
        <v>59.790999999999997</v>
      </c>
      <c r="AG230" s="7">
        <f t="shared" si="78"/>
        <v>9.0849032267645846E-3</v>
      </c>
      <c r="AH230" s="3">
        <v>26.491902</v>
      </c>
      <c r="AI230" s="7">
        <f t="shared" si="79"/>
        <v>7.299564708535522E-2</v>
      </c>
      <c r="AJ230" s="3">
        <v>77.454228000000001</v>
      </c>
      <c r="AK230" s="7">
        <f t="shared" si="80"/>
        <v>3.2710881550554571E-2</v>
      </c>
      <c r="AL230" s="3">
        <v>4.54</v>
      </c>
      <c r="AM230" s="7">
        <f t="shared" si="81"/>
        <v>6.0747663551401709E-2</v>
      </c>
      <c r="AN230" s="3">
        <v>0.8</v>
      </c>
      <c r="AO230" s="7">
        <f t="shared" si="82"/>
        <v>0.26984126984126999</v>
      </c>
      <c r="AP230" s="3">
        <v>10.65</v>
      </c>
      <c r="AQ230" s="7">
        <f t="shared" si="83"/>
        <v>0.18333333333333335</v>
      </c>
    </row>
    <row r="231" spans="1:43" x14ac:dyDescent="0.3">
      <c r="A231" s="4">
        <v>42360</v>
      </c>
      <c r="B231" s="3">
        <v>17417.269531000002</v>
      </c>
      <c r="C231" s="7">
        <f t="shared" si="63"/>
        <v>9.6020198826625158E-3</v>
      </c>
      <c r="D231" s="3">
        <v>104.89614899999999</v>
      </c>
      <c r="E231" s="7">
        <f t="shared" si="64"/>
        <v>-9.3169159208206231E-4</v>
      </c>
      <c r="F231" s="3">
        <v>93.82</v>
      </c>
      <c r="G231" s="7">
        <f t="shared" si="65"/>
        <v>2.4012190874955541E-2</v>
      </c>
      <c r="H231" s="3">
        <v>54.235681999999997</v>
      </c>
      <c r="I231" s="7">
        <f t="shared" si="66"/>
        <v>9.4837981516413539E-3</v>
      </c>
      <c r="J231" s="3">
        <v>36.031790000000001</v>
      </c>
      <c r="K231" s="7">
        <f t="shared" si="67"/>
        <v>4.6678066277567876E-3</v>
      </c>
      <c r="L231" s="3">
        <v>77.776781999999997</v>
      </c>
      <c r="M231" s="7">
        <f t="shared" si="68"/>
        <v>5.3380514739385099E-3</v>
      </c>
      <c r="N231" s="3">
        <v>16.879175</v>
      </c>
      <c r="O231" s="7">
        <f t="shared" si="69"/>
        <v>6.482049278529356E-3</v>
      </c>
      <c r="P231" s="3">
        <v>51.533119999999997</v>
      </c>
      <c r="Q231" s="7">
        <f t="shared" si="70"/>
        <v>4.2478887175965152E-3</v>
      </c>
      <c r="R231" s="3">
        <v>7.5711349999999999</v>
      </c>
      <c r="S231" s="7">
        <f t="shared" si="71"/>
        <v>1.3106183570871455E-2</v>
      </c>
      <c r="T231" s="3">
        <v>63.798808999999999</v>
      </c>
      <c r="U231" s="7">
        <f t="shared" si="72"/>
        <v>2.1360819391913477E-3</v>
      </c>
      <c r="V231" s="3">
        <v>52.647928999999998</v>
      </c>
      <c r="W231" s="7">
        <f t="shared" si="73"/>
        <v>5.9237386571904249E-3</v>
      </c>
      <c r="X231" s="3">
        <v>159.39952</v>
      </c>
      <c r="Y231" s="7">
        <f t="shared" si="74"/>
        <v>1.1543985409252722E-2</v>
      </c>
      <c r="Z231" s="3">
        <v>129.817375</v>
      </c>
      <c r="AA231" s="7">
        <f t="shared" si="75"/>
        <v>4.3409263130365083E-3</v>
      </c>
      <c r="AB231" s="3">
        <v>6.84</v>
      </c>
      <c r="AC231" s="7">
        <f t="shared" si="76"/>
        <v>2.39520958083832E-2</v>
      </c>
      <c r="AD231" s="3">
        <v>70.304783</v>
      </c>
      <c r="AE231" s="7">
        <f t="shared" si="77"/>
        <v>1.2550567375002819E-2</v>
      </c>
      <c r="AF231" s="3">
        <v>59.252695000000003</v>
      </c>
      <c r="AG231" s="7">
        <f t="shared" si="78"/>
        <v>1.6624703851820133E-2</v>
      </c>
      <c r="AH231" s="3">
        <v>24.689664</v>
      </c>
      <c r="AI231" s="7">
        <f t="shared" si="79"/>
        <v>6.0939492108591287E-2</v>
      </c>
      <c r="AJ231" s="3">
        <v>75.000883000000002</v>
      </c>
      <c r="AK231" s="7">
        <f t="shared" si="80"/>
        <v>5.0478941224794127E-3</v>
      </c>
      <c r="AL231" s="3">
        <v>4.28</v>
      </c>
      <c r="AM231" s="7">
        <f t="shared" si="81"/>
        <v>4.1362530413625365E-2</v>
      </c>
      <c r="AN231" s="3">
        <v>0.63</v>
      </c>
      <c r="AO231" s="7">
        <f t="shared" si="82"/>
        <v>-3.0769230769230771E-2</v>
      </c>
      <c r="AP231" s="3">
        <v>9</v>
      </c>
      <c r="AQ231" s="7">
        <f t="shared" si="83"/>
        <v>8.303249097472909E-2</v>
      </c>
    </row>
    <row r="232" spans="1:43" x14ac:dyDescent="0.3">
      <c r="A232" s="4">
        <v>42359</v>
      </c>
      <c r="B232" s="3">
        <v>17251.619140999999</v>
      </c>
      <c r="C232" s="7">
        <f t="shared" si="63"/>
        <v>7.1849838070663363E-3</v>
      </c>
      <c r="D232" s="3">
        <v>104.993971</v>
      </c>
      <c r="E232" s="7">
        <f t="shared" si="64"/>
        <v>1.2260704338855399E-2</v>
      </c>
      <c r="F232" s="3">
        <v>91.620002999999997</v>
      </c>
      <c r="G232" s="7">
        <f t="shared" si="65"/>
        <v>3.3950827597215572E-3</v>
      </c>
      <c r="H232" s="3">
        <v>53.726154000000001</v>
      </c>
      <c r="I232" s="7">
        <f t="shared" si="66"/>
        <v>1.2931840474495582E-2</v>
      </c>
      <c r="J232" s="3">
        <v>35.864381999999999</v>
      </c>
      <c r="K232" s="7">
        <f t="shared" si="67"/>
        <v>1.9257196096151841E-3</v>
      </c>
      <c r="L232" s="3">
        <v>77.363810000000001</v>
      </c>
      <c r="M232" s="7">
        <f t="shared" si="68"/>
        <v>7.1684312509909809E-3</v>
      </c>
      <c r="N232" s="3">
        <v>16.770468000000001</v>
      </c>
      <c r="O232" s="7">
        <f t="shared" si="69"/>
        <v>1.2529781853920063E-2</v>
      </c>
      <c r="P232" s="3">
        <v>51.315139000000002</v>
      </c>
      <c r="Q232" s="7">
        <f t="shared" si="70"/>
        <v>1.1325952831916952E-2</v>
      </c>
      <c r="R232" s="3">
        <v>7.4731899999999998</v>
      </c>
      <c r="S232" s="7">
        <f t="shared" si="71"/>
        <v>2.2788175867465954E-2</v>
      </c>
      <c r="T232" s="3">
        <v>63.662820000000004</v>
      </c>
      <c r="U232" s="7">
        <f t="shared" si="72"/>
        <v>1.7701856681698436E-2</v>
      </c>
      <c r="V232" s="3">
        <v>52.337893000000001</v>
      </c>
      <c r="W232" s="7">
        <f t="shared" si="73"/>
        <v>4.2758660760144895E-3</v>
      </c>
      <c r="X232" s="3">
        <v>157.58041399999999</v>
      </c>
      <c r="Y232" s="7">
        <f t="shared" si="74"/>
        <v>1.0716569226225658E-2</v>
      </c>
      <c r="Z232" s="3">
        <v>129.256283</v>
      </c>
      <c r="AA232" s="7">
        <f t="shared" si="75"/>
        <v>7.828721452582732E-3</v>
      </c>
      <c r="AB232" s="3">
        <v>6.68</v>
      </c>
      <c r="AC232" s="7">
        <f t="shared" si="76"/>
        <v>7.541478129713397E-3</v>
      </c>
      <c r="AD232" s="3">
        <v>69.433355000000006</v>
      </c>
      <c r="AE232" s="7">
        <f t="shared" si="77"/>
        <v>4.7638671551892831E-3</v>
      </c>
      <c r="AF232" s="3">
        <v>58.283745000000003</v>
      </c>
      <c r="AG232" s="7">
        <f t="shared" si="78"/>
        <v>1.1894658117643786E-2</v>
      </c>
      <c r="AH232" s="3">
        <v>23.271509999999999</v>
      </c>
      <c r="AI232" s="7">
        <f t="shared" si="79"/>
        <v>3.8681293313982179E-2</v>
      </c>
      <c r="AJ232" s="3">
        <v>74.624188000000004</v>
      </c>
      <c r="AK232" s="7">
        <f t="shared" si="80"/>
        <v>-2.5876331125551655E-4</v>
      </c>
      <c r="AL232" s="3">
        <v>4.1100000000000003</v>
      </c>
      <c r="AM232" s="7">
        <f t="shared" si="81"/>
        <v>-5.5172413793103336E-2</v>
      </c>
      <c r="AN232" s="3">
        <v>0.65</v>
      </c>
      <c r="AO232" s="7">
        <f t="shared" si="82"/>
        <v>0.22641509433962259</v>
      </c>
      <c r="AP232" s="3">
        <v>8.31</v>
      </c>
      <c r="AQ232" s="7">
        <f t="shared" si="83"/>
        <v>-8.5808580858085737E-2</v>
      </c>
    </row>
    <row r="233" spans="1:43" x14ac:dyDescent="0.3">
      <c r="A233" s="4">
        <v>42356</v>
      </c>
      <c r="B233" s="3">
        <v>17128.550781000002</v>
      </c>
      <c r="C233" s="7">
        <f t="shared" si="63"/>
        <v>-2.0992936965295472E-2</v>
      </c>
      <c r="D233" s="3">
        <v>103.722263</v>
      </c>
      <c r="E233" s="7">
        <f t="shared" si="64"/>
        <v>-2.7069228845649884E-2</v>
      </c>
      <c r="F233" s="3">
        <v>91.309997999999993</v>
      </c>
      <c r="G233" s="7">
        <f t="shared" si="65"/>
        <v>-3.0679395881509475E-2</v>
      </c>
      <c r="H233" s="3">
        <v>53.040246000000003</v>
      </c>
      <c r="I233" s="7">
        <f t="shared" si="66"/>
        <v>-2.8186705575173887E-2</v>
      </c>
      <c r="J233" s="3">
        <v>35.795450000000002</v>
      </c>
      <c r="K233" s="7">
        <f t="shared" si="67"/>
        <v>-1.5705426212065943E-2</v>
      </c>
      <c r="L233" s="3">
        <v>76.813180000000003</v>
      </c>
      <c r="M233" s="7">
        <f t="shared" si="68"/>
        <v>-3.6985236904613084E-3</v>
      </c>
      <c r="N233" s="3">
        <v>16.562937999999999</v>
      </c>
      <c r="O233" s="7">
        <f t="shared" si="69"/>
        <v>-3.1213773836848313E-2</v>
      </c>
      <c r="P233" s="3">
        <v>50.740454999999997</v>
      </c>
      <c r="Q233" s="7">
        <f t="shared" si="70"/>
        <v>-3.0847870055169646E-2</v>
      </c>
      <c r="R233" s="3">
        <v>7.3066839999999997</v>
      </c>
      <c r="S233" s="7">
        <f t="shared" si="71"/>
        <v>2.6881768386441962E-3</v>
      </c>
      <c r="T233" s="3">
        <v>62.555472000000002</v>
      </c>
      <c r="U233" s="7">
        <f t="shared" si="72"/>
        <v>-2.8364475993405747E-2</v>
      </c>
      <c r="V233" s="3">
        <v>52.115056000000003</v>
      </c>
      <c r="W233" s="7">
        <f t="shared" si="73"/>
        <v>-3.0286637955937556E-2</v>
      </c>
      <c r="X233" s="3">
        <v>155.90959799999999</v>
      </c>
      <c r="Y233" s="7">
        <f t="shared" si="74"/>
        <v>-1.8546151436081737E-2</v>
      </c>
      <c r="Z233" s="3">
        <v>128.25223199999999</v>
      </c>
      <c r="AA233" s="7">
        <f t="shared" si="75"/>
        <v>-8.070139025387113E-3</v>
      </c>
      <c r="AB233" s="3">
        <v>6.63</v>
      </c>
      <c r="AC233" s="7">
        <f t="shared" si="76"/>
        <v>3.0257186081694698E-3</v>
      </c>
      <c r="AD233" s="3">
        <v>69.104151999999999</v>
      </c>
      <c r="AE233" s="7">
        <f t="shared" si="77"/>
        <v>-1.3272486793602711E-2</v>
      </c>
      <c r="AF233" s="3">
        <v>57.598629000000003</v>
      </c>
      <c r="AG233" s="7">
        <f t="shared" si="78"/>
        <v>-2.2041419387998085E-3</v>
      </c>
      <c r="AH233" s="3">
        <v>22.404861</v>
      </c>
      <c r="AI233" s="7">
        <f t="shared" si="79"/>
        <v>-2.6529780683033133E-2</v>
      </c>
      <c r="AJ233" s="3">
        <v>74.643502999999995</v>
      </c>
      <c r="AK233" s="7">
        <f t="shared" si="80"/>
        <v>-8.7224216252832498E-3</v>
      </c>
      <c r="AL233" s="3">
        <v>4.3499999999999996</v>
      </c>
      <c r="AM233" s="7">
        <f t="shared" si="81"/>
        <v>-2.4663677130044914E-2</v>
      </c>
      <c r="AN233" s="3">
        <v>0.53</v>
      </c>
      <c r="AO233" s="7">
        <f t="shared" si="82"/>
        <v>-0.13114754098360648</v>
      </c>
      <c r="AP233" s="3">
        <v>9.09</v>
      </c>
      <c r="AQ233" s="7">
        <f t="shared" si="83"/>
        <v>-6.4814814814814881E-2</v>
      </c>
    </row>
    <row r="234" spans="1:43" x14ac:dyDescent="0.3">
      <c r="A234" s="4">
        <v>42355</v>
      </c>
      <c r="B234" s="3">
        <v>17495.839843999998</v>
      </c>
      <c r="C234" s="7">
        <f t="shared" si="63"/>
        <v>-1.4268337262691277E-2</v>
      </c>
      <c r="D234" s="3">
        <v>106.60806100000001</v>
      </c>
      <c r="E234" s="7">
        <f t="shared" si="64"/>
        <v>-2.1196274154092198E-2</v>
      </c>
      <c r="F234" s="3">
        <v>94.199996999999996</v>
      </c>
      <c r="G234" s="7">
        <f t="shared" si="65"/>
        <v>-1.4231906953367623E-2</v>
      </c>
      <c r="H234" s="3">
        <v>54.578637999999998</v>
      </c>
      <c r="I234" s="7">
        <f t="shared" si="66"/>
        <v>-7.6608025071718266E-3</v>
      </c>
      <c r="J234" s="3">
        <v>36.366602999999998</v>
      </c>
      <c r="K234" s="7">
        <f t="shared" si="67"/>
        <v>-5.088664915144947E-2</v>
      </c>
      <c r="L234" s="3">
        <v>77.098330000000004</v>
      </c>
      <c r="M234" s="7">
        <f t="shared" si="68"/>
        <v>-8.9193384574293155E-4</v>
      </c>
      <c r="N234" s="3">
        <v>17.096587</v>
      </c>
      <c r="O234" s="7">
        <f t="shared" si="69"/>
        <v>-2.5352173217294105E-2</v>
      </c>
      <c r="P234" s="3">
        <v>52.355511</v>
      </c>
      <c r="Q234" s="7">
        <f t="shared" si="70"/>
        <v>-1.9666068810175741E-2</v>
      </c>
      <c r="R234" s="3">
        <v>7.2870949999999999</v>
      </c>
      <c r="S234" s="7">
        <f t="shared" si="71"/>
        <v>0</v>
      </c>
      <c r="T234" s="3">
        <v>64.381623000000005</v>
      </c>
      <c r="U234" s="7">
        <f t="shared" si="72"/>
        <v>-1.8510295038459801E-2</v>
      </c>
      <c r="V234" s="3">
        <v>53.742742999999997</v>
      </c>
      <c r="W234" s="7">
        <f t="shared" si="73"/>
        <v>-6.8038961756103911E-3</v>
      </c>
      <c r="X234" s="3">
        <v>158.855761</v>
      </c>
      <c r="Y234" s="7">
        <f t="shared" si="74"/>
        <v>-1.2779569552576198E-2</v>
      </c>
      <c r="Z234" s="3">
        <v>129.29566600000001</v>
      </c>
      <c r="AA234" s="7">
        <f t="shared" si="75"/>
        <v>-1.1662815564167706E-2</v>
      </c>
      <c r="AB234" s="3">
        <v>6.61</v>
      </c>
      <c r="AC234" s="7">
        <f t="shared" si="76"/>
        <v>-5.8404558404558271E-2</v>
      </c>
      <c r="AD234" s="3">
        <v>70.033672999999993</v>
      </c>
      <c r="AE234" s="7">
        <f t="shared" si="77"/>
        <v>-1.9918718955545422E-2</v>
      </c>
      <c r="AF234" s="3">
        <v>57.725864999999999</v>
      </c>
      <c r="AG234" s="7">
        <f t="shared" si="78"/>
        <v>-2.1890549388009273E-2</v>
      </c>
      <c r="AH234" s="3">
        <v>23.015456</v>
      </c>
      <c r="AI234" s="7">
        <f t="shared" si="79"/>
        <v>-6.6693306168286837E-2</v>
      </c>
      <c r="AJ234" s="3">
        <v>75.300303999999997</v>
      </c>
      <c r="AK234" s="7">
        <f t="shared" si="80"/>
        <v>-1.5034772925489825E-2</v>
      </c>
      <c r="AL234" s="3">
        <v>4.46</v>
      </c>
      <c r="AM234" s="7">
        <f t="shared" si="81"/>
        <v>-4.2918454935622408E-2</v>
      </c>
      <c r="AN234" s="3">
        <v>0.61</v>
      </c>
      <c r="AO234" s="7">
        <f t="shared" si="82"/>
        <v>0</v>
      </c>
      <c r="AP234" s="3">
        <v>9.7200000000000006</v>
      </c>
      <c r="AQ234" s="7">
        <f t="shared" si="83"/>
        <v>-8.4745762711864292E-2</v>
      </c>
    </row>
    <row r="235" spans="1:43" x14ac:dyDescent="0.3">
      <c r="A235" s="4">
        <v>42354</v>
      </c>
      <c r="B235" s="3">
        <v>17749.089843999998</v>
      </c>
      <c r="C235" s="7">
        <f t="shared" si="63"/>
        <v>1.2792059189144833E-2</v>
      </c>
      <c r="D235" s="3">
        <v>108.91668900000001</v>
      </c>
      <c r="E235" s="7">
        <f t="shared" si="64"/>
        <v>7.69299660758338E-3</v>
      </c>
      <c r="F235" s="3">
        <v>95.559997999999993</v>
      </c>
      <c r="G235" s="7">
        <f t="shared" si="65"/>
        <v>1.6379504883413221E-2</v>
      </c>
      <c r="H235" s="3">
        <v>54.999982000000003</v>
      </c>
      <c r="I235" s="7">
        <f t="shared" si="66"/>
        <v>1.6847843128206641E-2</v>
      </c>
      <c r="J235" s="3">
        <v>38.316395999999997</v>
      </c>
      <c r="K235" s="7">
        <f t="shared" si="67"/>
        <v>1.831981359167556E-2</v>
      </c>
      <c r="L235" s="3">
        <v>77.167158000000001</v>
      </c>
      <c r="M235" s="7">
        <f t="shared" si="68"/>
        <v>2.8111585063070876E-3</v>
      </c>
      <c r="N235" s="3">
        <v>17.541297</v>
      </c>
      <c r="O235" s="7">
        <f t="shared" si="69"/>
        <v>1.8943749460142101E-2</v>
      </c>
      <c r="P235" s="3">
        <v>53.405793000000003</v>
      </c>
      <c r="Q235" s="7">
        <f t="shared" si="70"/>
        <v>2.6275727493394463E-2</v>
      </c>
      <c r="R235" s="3">
        <v>7.2870949999999999</v>
      </c>
      <c r="S235" s="7">
        <f t="shared" si="71"/>
        <v>2.3383739744001542E-2</v>
      </c>
      <c r="T235" s="3">
        <v>65.595821000000001</v>
      </c>
      <c r="U235" s="7">
        <f t="shared" si="72"/>
        <v>2.1633899773011445E-2</v>
      </c>
      <c r="V235" s="3">
        <v>54.110908000000002</v>
      </c>
      <c r="W235" s="7">
        <f t="shared" si="73"/>
        <v>1.7118908566078339E-2</v>
      </c>
      <c r="X235" s="3">
        <v>160.912149</v>
      </c>
      <c r="Y235" s="7">
        <f t="shared" si="74"/>
        <v>9.1140260856161781E-3</v>
      </c>
      <c r="Z235" s="3">
        <v>130.82141200000001</v>
      </c>
      <c r="AA235" s="7">
        <f t="shared" si="75"/>
        <v>1.2262935562398658E-2</v>
      </c>
      <c r="AB235" s="3">
        <v>7.02</v>
      </c>
      <c r="AC235" s="7">
        <f t="shared" si="76"/>
        <v>-1.9553072625698387E-2</v>
      </c>
      <c r="AD235" s="3">
        <v>71.457004999999995</v>
      </c>
      <c r="AE235" s="7">
        <f t="shared" si="77"/>
        <v>1.1235944720690449E-2</v>
      </c>
      <c r="AF235" s="3">
        <v>59.017797000000002</v>
      </c>
      <c r="AG235" s="7">
        <f t="shared" si="78"/>
        <v>1.1066399476144628E-2</v>
      </c>
      <c r="AH235" s="3">
        <v>24.660121</v>
      </c>
      <c r="AI235" s="7">
        <f t="shared" si="79"/>
        <v>-1.7268374958813948E-2</v>
      </c>
      <c r="AJ235" s="3">
        <v>76.449708000000001</v>
      </c>
      <c r="AK235" s="7">
        <f t="shared" si="80"/>
        <v>-3.5251101877987745E-3</v>
      </c>
      <c r="AL235" s="3">
        <v>4.66</v>
      </c>
      <c r="AM235" s="7">
        <f t="shared" si="81"/>
        <v>6.4794816414688317E-3</v>
      </c>
      <c r="AN235" s="3">
        <v>0.61</v>
      </c>
      <c r="AO235" s="7">
        <f t="shared" si="82"/>
        <v>0</v>
      </c>
      <c r="AP235" s="3">
        <v>10.62</v>
      </c>
      <c r="AQ235" s="7">
        <f t="shared" si="83"/>
        <v>-7.9722703639514725E-2</v>
      </c>
    </row>
    <row r="236" spans="1:43" x14ac:dyDescent="0.3">
      <c r="A236" s="4">
        <v>42353</v>
      </c>
      <c r="B236" s="3">
        <v>17524.910156000002</v>
      </c>
      <c r="C236" s="7">
        <f t="shared" si="63"/>
        <v>9.0053922906412343E-3</v>
      </c>
      <c r="D236" s="3">
        <v>108.08519</v>
      </c>
      <c r="E236" s="7">
        <f t="shared" si="64"/>
        <v>-1.7692090049098885E-2</v>
      </c>
      <c r="F236" s="3">
        <v>94.019997000000004</v>
      </c>
      <c r="G236" s="7">
        <f t="shared" si="65"/>
        <v>8.1492063446448881E-3</v>
      </c>
      <c r="H236" s="3">
        <v>54.088704</v>
      </c>
      <c r="I236" s="7">
        <f t="shared" si="66"/>
        <v>1.0881565213016753E-3</v>
      </c>
      <c r="J236" s="3">
        <v>37.627074999999998</v>
      </c>
      <c r="K236" s="7">
        <f t="shared" si="67"/>
        <v>1.487379037761194E-2</v>
      </c>
      <c r="L236" s="3">
        <v>76.950837000000007</v>
      </c>
      <c r="M236" s="7">
        <f t="shared" si="68"/>
        <v>1.0067089383349659E-2</v>
      </c>
      <c r="N236" s="3">
        <v>17.215177000000001</v>
      </c>
      <c r="O236" s="7">
        <f t="shared" si="69"/>
        <v>3.6904818838358056E-2</v>
      </c>
      <c r="P236" s="3">
        <v>52.038445000000003</v>
      </c>
      <c r="Q236" s="7">
        <f t="shared" si="70"/>
        <v>2.7788689416302415E-2</v>
      </c>
      <c r="R236" s="3">
        <v>7.1205889999999998</v>
      </c>
      <c r="S236" s="7">
        <f t="shared" si="71"/>
        <v>6.9252911922819127E-3</v>
      </c>
      <c r="T236" s="3">
        <v>64.206778</v>
      </c>
      <c r="U236" s="7">
        <f t="shared" si="72"/>
        <v>2.8473651052117521E-2</v>
      </c>
      <c r="V236" s="3">
        <v>53.200178999999999</v>
      </c>
      <c r="W236" s="7">
        <f t="shared" si="73"/>
        <v>3.2142837533872148E-2</v>
      </c>
      <c r="X236" s="3">
        <v>159.45883699999999</v>
      </c>
      <c r="Y236" s="7">
        <f t="shared" si="74"/>
        <v>-3.3984323816749207E-3</v>
      </c>
      <c r="Z236" s="3">
        <v>129.236592</v>
      </c>
      <c r="AA236" s="7">
        <f t="shared" si="75"/>
        <v>-5.4541397454739293E-3</v>
      </c>
      <c r="AB236" s="3">
        <v>7.16</v>
      </c>
      <c r="AC236" s="7">
        <f t="shared" si="76"/>
        <v>1.849217638691325E-2</v>
      </c>
      <c r="AD236" s="3">
        <v>70.663038999999998</v>
      </c>
      <c r="AE236" s="7">
        <f t="shared" si="77"/>
        <v>3.575392475050565E-3</v>
      </c>
      <c r="AF236" s="3">
        <v>58.371831</v>
      </c>
      <c r="AG236" s="7">
        <f t="shared" si="78"/>
        <v>-1.2419271360855855E-2</v>
      </c>
      <c r="AH236" s="3">
        <v>25.093444000000002</v>
      </c>
      <c r="AI236" s="7">
        <f t="shared" si="79"/>
        <v>2.3293179176146372E-2</v>
      </c>
      <c r="AJ236" s="3">
        <v>76.720155000000005</v>
      </c>
      <c r="AK236" s="7">
        <f t="shared" si="80"/>
        <v>4.4719216481779567E-2</v>
      </c>
      <c r="AL236" s="3">
        <v>4.63</v>
      </c>
      <c r="AM236" s="7">
        <f t="shared" si="81"/>
        <v>2.8888888888888964E-2</v>
      </c>
      <c r="AN236" s="3">
        <v>0.61</v>
      </c>
      <c r="AO236" s="7">
        <f t="shared" si="82"/>
        <v>5.1724137931034475E-2</v>
      </c>
      <c r="AP236" s="3">
        <v>11.54</v>
      </c>
      <c r="AQ236" s="7">
        <f t="shared" si="83"/>
        <v>5.6776556776556797E-2</v>
      </c>
    </row>
    <row r="237" spans="1:43" x14ac:dyDescent="0.3">
      <c r="A237" s="4">
        <v>42352</v>
      </c>
      <c r="B237" s="3">
        <v>17368.5</v>
      </c>
      <c r="C237" s="7">
        <f t="shared" si="63"/>
        <v>5.9824963836767608E-3</v>
      </c>
      <c r="D237" s="3">
        <v>110.03188400000001</v>
      </c>
      <c r="E237" s="7">
        <f t="shared" si="64"/>
        <v>-6.1848062682896554E-3</v>
      </c>
      <c r="F237" s="3">
        <v>93.260002</v>
      </c>
      <c r="G237" s="7">
        <f t="shared" si="65"/>
        <v>2.0126931090066247E-2</v>
      </c>
      <c r="H237" s="3">
        <v>54.029910999999998</v>
      </c>
      <c r="I237" s="7">
        <f t="shared" si="66"/>
        <v>1.9977778681825153E-2</v>
      </c>
      <c r="J237" s="3">
        <v>37.075620000000001</v>
      </c>
      <c r="K237" s="7">
        <f t="shared" si="67"/>
        <v>1.1824848474428329E-2</v>
      </c>
      <c r="L237" s="3">
        <v>76.183886999999999</v>
      </c>
      <c r="M237" s="7">
        <f t="shared" si="68"/>
        <v>3.4970178968078969E-3</v>
      </c>
      <c r="N237" s="3">
        <v>16.602466</v>
      </c>
      <c r="O237" s="7">
        <f t="shared" si="69"/>
        <v>4.184043224306766E-3</v>
      </c>
      <c r="P237" s="3">
        <v>50.631462999999997</v>
      </c>
      <c r="Q237" s="7">
        <f t="shared" si="70"/>
        <v>-1.9570953979253236E-4</v>
      </c>
      <c r="R237" s="3">
        <v>7.0716159999999997</v>
      </c>
      <c r="S237" s="7">
        <f t="shared" si="71"/>
        <v>-1.0958924034947359E-2</v>
      </c>
      <c r="T237" s="3">
        <v>62.429191000000003</v>
      </c>
      <c r="U237" s="7">
        <f t="shared" si="72"/>
        <v>3.1215432390194753E-3</v>
      </c>
      <c r="V237" s="3">
        <v>51.543427000000001</v>
      </c>
      <c r="W237" s="7">
        <f t="shared" si="73"/>
        <v>-2.0634267920565108E-3</v>
      </c>
      <c r="X237" s="3">
        <v>160.00259500000001</v>
      </c>
      <c r="Y237" s="7">
        <f t="shared" si="74"/>
        <v>1.1373526258301236E-2</v>
      </c>
      <c r="Z237" s="3">
        <v>129.94533200000001</v>
      </c>
      <c r="AA237" s="7">
        <f t="shared" si="75"/>
        <v>1.2036123549789668E-2</v>
      </c>
      <c r="AB237" s="3">
        <v>7.03</v>
      </c>
      <c r="AC237" s="7">
        <f t="shared" si="76"/>
        <v>-4.2234332425068022E-2</v>
      </c>
      <c r="AD237" s="3">
        <v>70.411291000000006</v>
      </c>
      <c r="AE237" s="7">
        <f t="shared" si="77"/>
        <v>1.2249503929924632E-2</v>
      </c>
      <c r="AF237" s="3">
        <v>59.105882999999999</v>
      </c>
      <c r="AG237" s="7">
        <f t="shared" si="78"/>
        <v>1.735172834296983E-2</v>
      </c>
      <c r="AH237" s="3">
        <v>24.522243</v>
      </c>
      <c r="AI237" s="7">
        <f t="shared" si="79"/>
        <v>-2.5440318011228036E-2</v>
      </c>
      <c r="AJ237" s="3">
        <v>73.436148000000003</v>
      </c>
      <c r="AK237" s="7">
        <f t="shared" si="80"/>
        <v>2.2733420160676143E-2</v>
      </c>
      <c r="AL237" s="3">
        <v>4.5</v>
      </c>
      <c r="AM237" s="7">
        <f t="shared" si="81"/>
        <v>4.4642857142855874E-3</v>
      </c>
      <c r="AN237" s="3">
        <v>0.57999999999999996</v>
      </c>
      <c r="AO237" s="7">
        <f t="shared" si="82"/>
        <v>-7.9365079365079416E-2</v>
      </c>
      <c r="AP237" s="3">
        <v>10.92</v>
      </c>
      <c r="AQ237" s="7">
        <f t="shared" si="83"/>
        <v>-3.1914893617021267E-2</v>
      </c>
    </row>
    <row r="238" spans="1:43" x14ac:dyDescent="0.3">
      <c r="A238" s="4">
        <v>42349</v>
      </c>
      <c r="B238" s="3">
        <v>17265.210938</v>
      </c>
      <c r="C238" s="7">
        <f t="shared" si="63"/>
        <v>-1.761271494615857E-2</v>
      </c>
      <c r="D238" s="3">
        <v>110.716645</v>
      </c>
      <c r="E238" s="7">
        <f t="shared" si="64"/>
        <v>-2.5738126487978907E-2</v>
      </c>
      <c r="F238" s="3">
        <v>91.419998000000007</v>
      </c>
      <c r="G238" s="7">
        <f t="shared" si="65"/>
        <v>2.765286676768075E-2</v>
      </c>
      <c r="H238" s="3">
        <v>52.971654999999998</v>
      </c>
      <c r="I238" s="7">
        <f t="shared" si="66"/>
        <v>-2.189252620538007E-2</v>
      </c>
      <c r="J238" s="3">
        <v>36.642330000000001</v>
      </c>
      <c r="K238" s="7">
        <f t="shared" si="67"/>
        <v>-2.5661160805702576E-2</v>
      </c>
      <c r="L238" s="3">
        <v>75.918398999999994</v>
      </c>
      <c r="M238" s="7">
        <f t="shared" si="68"/>
        <v>-1.4801632899509087E-2</v>
      </c>
      <c r="N238" s="3">
        <v>16.533290000000001</v>
      </c>
      <c r="O238" s="7">
        <f t="shared" si="69"/>
        <v>-2.7325651342985369E-2</v>
      </c>
      <c r="P238" s="3">
        <v>50.641373999999999</v>
      </c>
      <c r="Q238" s="7">
        <f t="shared" si="70"/>
        <v>-2.9249785138205864E-2</v>
      </c>
      <c r="R238" s="3">
        <v>7.149972</v>
      </c>
      <c r="S238" s="7">
        <f t="shared" si="71"/>
        <v>-7.5949375268250408E-2</v>
      </c>
      <c r="T238" s="3">
        <v>62.234921999999997</v>
      </c>
      <c r="U238" s="7">
        <f t="shared" si="72"/>
        <v>-2.3472051942219796E-2</v>
      </c>
      <c r="V238" s="3">
        <v>51.650002999999998</v>
      </c>
      <c r="W238" s="7">
        <f t="shared" si="73"/>
        <v>-1.8954705701719088E-2</v>
      </c>
      <c r="X238" s="3">
        <v>158.20326600000001</v>
      </c>
      <c r="Y238" s="7">
        <f t="shared" si="74"/>
        <v>-1.1367829172236887E-2</v>
      </c>
      <c r="Z238" s="3">
        <v>128.39989499999999</v>
      </c>
      <c r="AA238" s="7">
        <f t="shared" si="75"/>
        <v>-1.584420083536664E-2</v>
      </c>
      <c r="AB238" s="3">
        <v>7.34</v>
      </c>
      <c r="AC238" s="7">
        <f t="shared" si="76"/>
        <v>-1.8716577540107027E-2</v>
      </c>
      <c r="AD238" s="3">
        <v>69.559224999999998</v>
      </c>
      <c r="AE238" s="7">
        <f t="shared" si="77"/>
        <v>-7.3235535061706436E-3</v>
      </c>
      <c r="AF238" s="3">
        <v>58.097785999999999</v>
      </c>
      <c r="AG238" s="7">
        <f t="shared" si="78"/>
        <v>-3.3579710573046206E-3</v>
      </c>
      <c r="AH238" s="3">
        <v>25.162382000000001</v>
      </c>
      <c r="AI238" s="7">
        <f t="shared" si="79"/>
        <v>-4.6997403768253343E-2</v>
      </c>
      <c r="AJ238" s="3">
        <v>71.803802000000005</v>
      </c>
      <c r="AK238" s="7">
        <f t="shared" si="80"/>
        <v>-1.7835988416604276E-2</v>
      </c>
      <c r="AL238" s="3">
        <v>4.4800000000000004</v>
      </c>
      <c r="AM238" s="7">
        <f t="shared" si="81"/>
        <v>-5.2854122621564525E-2</v>
      </c>
      <c r="AN238" s="3">
        <v>0.63</v>
      </c>
      <c r="AO238" s="7">
        <f t="shared" si="82"/>
        <v>-8.6956521739130377E-2</v>
      </c>
      <c r="AP238" s="3">
        <v>11.28</v>
      </c>
      <c r="AQ238" s="7">
        <f t="shared" si="83"/>
        <v>-0.13430544896392937</v>
      </c>
    </row>
    <row r="239" spans="1:43" x14ac:dyDescent="0.3">
      <c r="A239" s="4">
        <v>42348</v>
      </c>
      <c r="B239" s="3">
        <v>17574.75</v>
      </c>
      <c r="C239" s="7">
        <f t="shared" si="63"/>
        <v>4.7134576538698791E-3</v>
      </c>
      <c r="D239" s="3">
        <v>113.641566</v>
      </c>
      <c r="E239" s="7">
        <f t="shared" si="64"/>
        <v>4.7569244538505639E-3</v>
      </c>
      <c r="F239" s="3">
        <v>88.959998999999996</v>
      </c>
      <c r="G239" s="7">
        <f t="shared" si="65"/>
        <v>-6.6994083675615546E-3</v>
      </c>
      <c r="H239" s="3">
        <v>54.157294999999998</v>
      </c>
      <c r="I239" s="7">
        <f t="shared" si="66"/>
        <v>5.2746701268453489E-3</v>
      </c>
      <c r="J239" s="3">
        <v>37.607379000000002</v>
      </c>
      <c r="K239" s="7">
        <f t="shared" si="67"/>
        <v>-1.0108963249688352E-2</v>
      </c>
      <c r="L239" s="3">
        <v>77.058998000000003</v>
      </c>
      <c r="M239" s="7">
        <f t="shared" si="68"/>
        <v>1.2777046560084049E-3</v>
      </c>
      <c r="N239" s="3">
        <v>16.997765000000001</v>
      </c>
      <c r="O239" s="7">
        <f t="shared" si="69"/>
        <v>5.8479999337237576E-3</v>
      </c>
      <c r="P239" s="3">
        <v>52.167254999999997</v>
      </c>
      <c r="Q239" s="7">
        <f t="shared" si="70"/>
        <v>-3.0297107619231545E-3</v>
      </c>
      <c r="R239" s="3">
        <v>7.737641</v>
      </c>
      <c r="S239" s="7">
        <f t="shared" si="71"/>
        <v>1.5424059606504281E-2</v>
      </c>
      <c r="T239" s="3">
        <v>63.730815</v>
      </c>
      <c r="U239" s="7">
        <f t="shared" si="72"/>
        <v>2.2915113662853592E-3</v>
      </c>
      <c r="V239" s="3">
        <v>52.647928999999998</v>
      </c>
      <c r="W239" s="7">
        <f t="shared" si="73"/>
        <v>4.0650691798485017E-3</v>
      </c>
      <c r="X239" s="3">
        <v>160.02237299999999</v>
      </c>
      <c r="Y239" s="7">
        <f t="shared" si="74"/>
        <v>1.3398446141625664E-2</v>
      </c>
      <c r="Z239" s="3">
        <v>130.46704099999999</v>
      </c>
      <c r="AA239" s="7">
        <f t="shared" si="75"/>
        <v>4.8521511409547191E-3</v>
      </c>
      <c r="AB239" s="3">
        <v>7.48</v>
      </c>
      <c r="AC239" s="7">
        <f t="shared" si="76"/>
        <v>1.3386880856760541E-3</v>
      </c>
      <c r="AD239" s="3">
        <v>70.072404000000006</v>
      </c>
      <c r="AE239" s="7">
        <f t="shared" si="77"/>
        <v>4.9993092032103448E-3</v>
      </c>
      <c r="AF239" s="3">
        <v>58.293534000000001</v>
      </c>
      <c r="AG239" s="7">
        <f t="shared" si="78"/>
        <v>7.2721191038043198E-3</v>
      </c>
      <c r="AH239" s="3">
        <v>26.403267</v>
      </c>
      <c r="AI239" s="7">
        <f t="shared" si="79"/>
        <v>9.0327447171061337E-3</v>
      </c>
      <c r="AJ239" s="3">
        <v>73.107750999999993</v>
      </c>
      <c r="AK239" s="7">
        <f t="shared" si="80"/>
        <v>7.9340402785255115E-4</v>
      </c>
      <c r="AL239" s="3">
        <v>4.7300000000000004</v>
      </c>
      <c r="AM239" s="7">
        <f t="shared" si="81"/>
        <v>-5.3999999999999937E-2</v>
      </c>
      <c r="AN239" s="3">
        <v>0.69</v>
      </c>
      <c r="AO239" s="7">
        <f t="shared" si="82"/>
        <v>0.16949152542372881</v>
      </c>
      <c r="AP239" s="3">
        <v>13.03</v>
      </c>
      <c r="AQ239" s="7">
        <f t="shared" si="83"/>
        <v>3.0039525691699431E-2</v>
      </c>
    </row>
    <row r="240" spans="1:43" x14ac:dyDescent="0.3">
      <c r="A240" s="4">
        <v>42347</v>
      </c>
      <c r="B240" s="3">
        <v>17492.300781000002</v>
      </c>
      <c r="C240" s="7">
        <f t="shared" si="63"/>
        <v>-4.3089264002731387E-3</v>
      </c>
      <c r="D240" s="3">
        <v>113.10354100000001</v>
      </c>
      <c r="E240" s="7">
        <f t="shared" si="64"/>
        <v>-2.2075618856091661E-2</v>
      </c>
      <c r="F240" s="3">
        <v>89.559997999999993</v>
      </c>
      <c r="G240" s="7">
        <f t="shared" si="65"/>
        <v>-2.3549967034998232E-2</v>
      </c>
      <c r="H240" s="3">
        <v>53.873131999999998</v>
      </c>
      <c r="I240" s="7">
        <f t="shared" si="66"/>
        <v>-1.4518750366081301E-2</v>
      </c>
      <c r="J240" s="3">
        <v>37.991433000000001</v>
      </c>
      <c r="K240" s="7">
        <f t="shared" si="67"/>
        <v>-3.8728978223998567E-3</v>
      </c>
      <c r="L240" s="3">
        <v>76.960665000000006</v>
      </c>
      <c r="M240" s="7">
        <f t="shared" si="68"/>
        <v>-7.859077913019652E-3</v>
      </c>
      <c r="N240" s="3">
        <v>16.89894</v>
      </c>
      <c r="O240" s="7">
        <f t="shared" si="69"/>
        <v>-5.2356144220920831E-3</v>
      </c>
      <c r="P240" s="3">
        <v>52.325786999999998</v>
      </c>
      <c r="Q240" s="7">
        <f t="shared" si="70"/>
        <v>-1.086342016602615E-2</v>
      </c>
      <c r="R240" s="3">
        <v>7.6201080000000001</v>
      </c>
      <c r="S240" s="7">
        <f t="shared" si="71"/>
        <v>-5.1150981958369979E-3</v>
      </c>
      <c r="T240" s="3">
        <v>63.585109000000003</v>
      </c>
      <c r="U240" s="7">
        <f t="shared" si="72"/>
        <v>-7.5803655235149314E-3</v>
      </c>
      <c r="V240" s="3">
        <v>52.434778000000001</v>
      </c>
      <c r="W240" s="7">
        <f t="shared" si="73"/>
        <v>-5.1471119204467009E-3</v>
      </c>
      <c r="X240" s="3">
        <v>157.90666899999999</v>
      </c>
      <c r="Y240" s="7">
        <f t="shared" si="74"/>
        <v>-5.4183655676870668E-2</v>
      </c>
      <c r="Z240" s="3">
        <v>129.837052</v>
      </c>
      <c r="AA240" s="7">
        <f t="shared" si="75"/>
        <v>-1.4494934795792114E-2</v>
      </c>
      <c r="AB240" s="3">
        <v>7.47</v>
      </c>
      <c r="AC240" s="7">
        <f t="shared" si="76"/>
        <v>-3.2383419689119175E-2</v>
      </c>
      <c r="AD240" s="3">
        <v>69.723832999999999</v>
      </c>
      <c r="AE240" s="7">
        <f t="shared" si="77"/>
        <v>-8.9457909219706755E-3</v>
      </c>
      <c r="AF240" s="3">
        <v>57.872677000000003</v>
      </c>
      <c r="AG240" s="7">
        <f t="shared" si="78"/>
        <v>-8.0523330602902954E-3</v>
      </c>
      <c r="AH240" s="3">
        <v>26.166907999999999</v>
      </c>
      <c r="AI240" s="7">
        <f t="shared" si="79"/>
        <v>1.0650393105259726E-2</v>
      </c>
      <c r="AJ240" s="3">
        <v>73.049792999999994</v>
      </c>
      <c r="AK240" s="7">
        <f t="shared" si="80"/>
        <v>1.3399439811178748E-2</v>
      </c>
      <c r="AL240" s="3">
        <v>5</v>
      </c>
      <c r="AM240" s="7">
        <f t="shared" si="81"/>
        <v>5.0420168067226934E-2</v>
      </c>
      <c r="AN240" s="3">
        <v>0.59</v>
      </c>
      <c r="AO240" s="7">
        <f t="shared" si="82"/>
        <v>-3.2786885245901676E-2</v>
      </c>
      <c r="AP240" s="3">
        <v>12.65</v>
      </c>
      <c r="AQ240" s="7">
        <f t="shared" si="83"/>
        <v>2.1809369951534707E-2</v>
      </c>
    </row>
    <row r="241" spans="1:43" x14ac:dyDescent="0.3">
      <c r="A241" s="4">
        <v>42346</v>
      </c>
      <c r="B241" s="3">
        <v>17568</v>
      </c>
      <c r="C241" s="7">
        <f t="shared" si="63"/>
        <v>-9.1655439208875311E-3</v>
      </c>
      <c r="D241" s="3">
        <v>115.656735</v>
      </c>
      <c r="E241" s="7">
        <f t="shared" si="64"/>
        <v>-4.2268466044204089E-4</v>
      </c>
      <c r="F241" s="3">
        <v>91.720000999999996</v>
      </c>
      <c r="G241" s="7">
        <f t="shared" si="65"/>
        <v>2.3660748295998735E-2</v>
      </c>
      <c r="H241" s="3">
        <v>54.666826</v>
      </c>
      <c r="I241" s="7">
        <f t="shared" si="66"/>
        <v>-3.5837047966424951E-4</v>
      </c>
      <c r="J241" s="3">
        <v>38.139142</v>
      </c>
      <c r="K241" s="7">
        <f t="shared" si="67"/>
        <v>-2.3183932078275626E-3</v>
      </c>
      <c r="L241" s="3">
        <v>77.570295999999999</v>
      </c>
      <c r="M241" s="7">
        <f t="shared" si="68"/>
        <v>-4.7937019757380295E-3</v>
      </c>
      <c r="N241" s="3">
        <v>16.987881999999999</v>
      </c>
      <c r="O241" s="7">
        <f t="shared" si="69"/>
        <v>-1.9954404602300357E-2</v>
      </c>
      <c r="P241" s="3">
        <v>52.900466999999999</v>
      </c>
      <c r="Q241" s="7">
        <f t="shared" si="70"/>
        <v>-1.8566225481139065E-2</v>
      </c>
      <c r="R241" s="3">
        <v>7.6592859999999998</v>
      </c>
      <c r="S241" s="7">
        <f t="shared" si="71"/>
        <v>-1.1377957817270246E-2</v>
      </c>
      <c r="T241" s="3">
        <v>64.070789000000005</v>
      </c>
      <c r="U241" s="7">
        <f t="shared" si="72"/>
        <v>-1.5522394692079167E-2</v>
      </c>
      <c r="V241" s="3">
        <v>52.706062000000003</v>
      </c>
      <c r="W241" s="7">
        <f t="shared" si="73"/>
        <v>-1.840484102063944E-2</v>
      </c>
      <c r="X241" s="3">
        <v>166.95278099999999</v>
      </c>
      <c r="Y241" s="7">
        <f t="shared" si="74"/>
        <v>1.0471518344921327E-2</v>
      </c>
      <c r="Z241" s="3">
        <v>131.746712</v>
      </c>
      <c r="AA241" s="7">
        <f t="shared" si="75"/>
        <v>-6.7196721460804909E-4</v>
      </c>
      <c r="AB241" s="3">
        <v>7.72</v>
      </c>
      <c r="AC241" s="7">
        <f t="shared" si="76"/>
        <v>-2.0304568527918843E-2</v>
      </c>
      <c r="AD241" s="3">
        <v>70.353198000000006</v>
      </c>
      <c r="AE241" s="7">
        <f t="shared" si="77"/>
        <v>-9.9468029968694527E-3</v>
      </c>
      <c r="AF241" s="3">
        <v>58.342469999999999</v>
      </c>
      <c r="AG241" s="7">
        <f t="shared" si="78"/>
        <v>-1.4710738902729226E-2</v>
      </c>
      <c r="AH241" s="3">
        <v>25.891157</v>
      </c>
      <c r="AI241" s="7">
        <f t="shared" si="79"/>
        <v>9.6006036276148343E-3</v>
      </c>
      <c r="AJ241" s="3">
        <v>72.083909000000006</v>
      </c>
      <c r="AK241" s="7">
        <f t="shared" si="80"/>
        <v>-2.8255288566578107E-2</v>
      </c>
      <c r="AL241" s="3">
        <v>4.76</v>
      </c>
      <c r="AM241" s="7">
        <f t="shared" si="81"/>
        <v>4.157549234135649E-2</v>
      </c>
      <c r="AN241" s="3">
        <v>0.61</v>
      </c>
      <c r="AO241" s="7">
        <f t="shared" si="82"/>
        <v>-4.6875E-2</v>
      </c>
      <c r="AP241" s="3">
        <v>12.38</v>
      </c>
      <c r="AQ241" s="7">
        <f t="shared" si="83"/>
        <v>1.6181229773464256E-3</v>
      </c>
    </row>
    <row r="242" spans="1:43" x14ac:dyDescent="0.3">
      <c r="A242" s="4">
        <v>42345</v>
      </c>
      <c r="B242" s="3">
        <v>17730.509765999999</v>
      </c>
      <c r="C242" s="7">
        <f t="shared" si="63"/>
        <v>-6.5622767483977107E-3</v>
      </c>
      <c r="D242" s="3">
        <v>115.705642</v>
      </c>
      <c r="E242" s="7">
        <f t="shared" si="64"/>
        <v>-6.3009386030503656E-3</v>
      </c>
      <c r="F242" s="3">
        <v>89.599997999999999</v>
      </c>
      <c r="G242" s="7">
        <f t="shared" si="65"/>
        <v>-3.2188420129867779E-2</v>
      </c>
      <c r="H242" s="3">
        <v>54.686424000000002</v>
      </c>
      <c r="I242" s="7">
        <f t="shared" si="66"/>
        <v>-1.78855630257857E-3</v>
      </c>
      <c r="J242" s="3">
        <v>38.227769000000002</v>
      </c>
      <c r="K242" s="7">
        <f t="shared" si="67"/>
        <v>-8.682328377285442E-3</v>
      </c>
      <c r="L242" s="3">
        <v>77.943935999999994</v>
      </c>
      <c r="M242" s="7">
        <f t="shared" si="68"/>
        <v>3.6717284072167455E-3</v>
      </c>
      <c r="N242" s="3">
        <v>17.333767000000002</v>
      </c>
      <c r="O242" s="7">
        <f t="shared" si="69"/>
        <v>-1.4606632092352245E-2</v>
      </c>
      <c r="P242" s="3">
        <v>53.901209000000001</v>
      </c>
      <c r="Q242" s="7">
        <f t="shared" si="70"/>
        <v>-1.2524933415170469E-2</v>
      </c>
      <c r="R242" s="3">
        <v>7.7474360000000004</v>
      </c>
      <c r="S242" s="7">
        <f t="shared" si="71"/>
        <v>-1.2484415989484687E-2</v>
      </c>
      <c r="T242" s="3">
        <v>65.081001999999998</v>
      </c>
      <c r="U242" s="7">
        <f t="shared" si="72"/>
        <v>-1.3109429284874796E-2</v>
      </c>
      <c r="V242" s="3">
        <v>53.694296999999999</v>
      </c>
      <c r="W242" s="7">
        <f t="shared" si="73"/>
        <v>-4.4907427458417137E-3</v>
      </c>
      <c r="X242" s="3">
        <v>165.22264899999999</v>
      </c>
      <c r="Y242" s="7">
        <f t="shared" si="74"/>
        <v>1.9184168172117211E-3</v>
      </c>
      <c r="Z242" s="3">
        <v>131.83530099999999</v>
      </c>
      <c r="AA242" s="7">
        <f t="shared" si="75"/>
        <v>-4.4600179981378885E-3</v>
      </c>
      <c r="AB242" s="3">
        <v>7.88</v>
      </c>
      <c r="AC242" s="7">
        <f t="shared" si="76"/>
        <v>-2.2332506203474045E-2</v>
      </c>
      <c r="AD242" s="3">
        <v>71.060017999999999</v>
      </c>
      <c r="AE242" s="7">
        <f t="shared" si="77"/>
        <v>-6.9012519232198866E-3</v>
      </c>
      <c r="AF242" s="3">
        <v>59.213545000000003</v>
      </c>
      <c r="AG242" s="7">
        <f t="shared" si="78"/>
        <v>1.4079794550588387E-2</v>
      </c>
      <c r="AH242" s="3">
        <v>25.644950000000001</v>
      </c>
      <c r="AI242" s="7">
        <f t="shared" si="79"/>
        <v>-6.1283294309436576E-2</v>
      </c>
      <c r="AJ242" s="3">
        <v>74.179883000000004</v>
      </c>
      <c r="AK242" s="7">
        <f t="shared" si="80"/>
        <v>-2.6122205891560335E-2</v>
      </c>
      <c r="AL242" s="3">
        <v>4.57</v>
      </c>
      <c r="AM242" s="7">
        <f t="shared" si="81"/>
        <v>-4.5929018789144016E-2</v>
      </c>
      <c r="AN242" s="3">
        <v>0.64</v>
      </c>
      <c r="AO242" s="7">
        <f t="shared" si="82"/>
        <v>-0.11111111111111105</v>
      </c>
      <c r="AP242" s="3">
        <v>12.36</v>
      </c>
      <c r="AQ242" s="7">
        <f t="shared" si="83"/>
        <v>-0.1320224719101124</v>
      </c>
    </row>
    <row r="243" spans="1:43" x14ac:dyDescent="0.3">
      <c r="A243" s="4">
        <v>42342</v>
      </c>
      <c r="B243" s="3">
        <v>17847.630859000001</v>
      </c>
      <c r="C243" s="7">
        <f t="shared" si="63"/>
        <v>2.1167634967994786E-2</v>
      </c>
      <c r="D243" s="3">
        <v>116.439319</v>
      </c>
      <c r="E243" s="7">
        <f t="shared" si="64"/>
        <v>3.3246543606378243E-2</v>
      </c>
      <c r="F243" s="3">
        <v>92.580001999999993</v>
      </c>
      <c r="G243" s="7">
        <f t="shared" si="65"/>
        <v>2.969633946407102E-2</v>
      </c>
      <c r="H243" s="3">
        <v>54.784408999999997</v>
      </c>
      <c r="I243" s="7">
        <f t="shared" si="66"/>
        <v>3.1549797099676535E-2</v>
      </c>
      <c r="J243" s="3">
        <v>38.562581999999999</v>
      </c>
      <c r="K243" s="7">
        <f t="shared" si="67"/>
        <v>3.5704794371708148E-2</v>
      </c>
      <c r="L243" s="3">
        <v>77.658794</v>
      </c>
      <c r="M243" s="7">
        <f t="shared" si="68"/>
        <v>6.242897332114028E-3</v>
      </c>
      <c r="N243" s="3">
        <v>17.590707999999999</v>
      </c>
      <c r="O243" s="7">
        <f t="shared" si="69"/>
        <v>2.8901733427847409E-2</v>
      </c>
      <c r="P243" s="3">
        <v>54.584881000000003</v>
      </c>
      <c r="Q243" s="7">
        <f t="shared" si="70"/>
        <v>2.9527229729604976E-2</v>
      </c>
      <c r="R243" s="3">
        <v>7.8453809999999997</v>
      </c>
      <c r="S243" s="7">
        <f t="shared" si="71"/>
        <v>3.7594692014337738E-3</v>
      </c>
      <c r="T243" s="3">
        <v>65.945509999999999</v>
      </c>
      <c r="U243" s="7">
        <f t="shared" si="72"/>
        <v>3.1762858310695918E-2</v>
      </c>
      <c r="V243" s="3">
        <v>53.936512</v>
      </c>
      <c r="W243" s="7">
        <f t="shared" si="73"/>
        <v>2.7121708596629546E-2</v>
      </c>
      <c r="X243" s="3">
        <v>164.90629000000001</v>
      </c>
      <c r="Y243" s="7">
        <f t="shared" si="74"/>
        <v>1.9123874763142368E-2</v>
      </c>
      <c r="Z243" s="3">
        <v>132.42592300000001</v>
      </c>
      <c r="AA243" s="7">
        <f t="shared" si="75"/>
        <v>2.7495654132964953E-2</v>
      </c>
      <c r="AB243" s="3">
        <v>8.06</v>
      </c>
      <c r="AC243" s="7">
        <f t="shared" si="76"/>
        <v>2.1546261089987473E-2</v>
      </c>
      <c r="AD243" s="3">
        <v>71.553828999999993</v>
      </c>
      <c r="AE243" s="7">
        <f t="shared" si="77"/>
        <v>9.7007648380922351E-3</v>
      </c>
      <c r="AF243" s="3">
        <v>58.391406000000003</v>
      </c>
      <c r="AG243" s="7">
        <f t="shared" si="78"/>
        <v>1.0501328978862245E-2</v>
      </c>
      <c r="AH243" s="3">
        <v>27.319158000000002</v>
      </c>
      <c r="AI243" s="7">
        <f t="shared" si="79"/>
        <v>-6.2837868595734148E-2</v>
      </c>
      <c r="AJ243" s="3">
        <v>76.169601</v>
      </c>
      <c r="AK243" s="7">
        <f t="shared" si="80"/>
        <v>5.7390275634412458E-3</v>
      </c>
      <c r="AL243" s="3">
        <v>4.79</v>
      </c>
      <c r="AM243" s="7">
        <f t="shared" si="81"/>
        <v>-5.8939096267190516E-2</v>
      </c>
      <c r="AN243" s="3">
        <v>0.72</v>
      </c>
      <c r="AO243" s="7">
        <f t="shared" si="82"/>
        <v>-2.7027027027027084E-2</v>
      </c>
      <c r="AP243" s="3">
        <v>14.24</v>
      </c>
      <c r="AQ243" s="7">
        <f t="shared" si="83"/>
        <v>-8.247422680412364E-2</v>
      </c>
    </row>
    <row r="244" spans="1:43" x14ac:dyDescent="0.3">
      <c r="A244" s="4">
        <v>42341</v>
      </c>
      <c r="B244" s="3">
        <v>17477.669922000001</v>
      </c>
      <c r="C244" s="7">
        <f t="shared" si="63"/>
        <v>-1.4214005579049838E-2</v>
      </c>
      <c r="D244" s="3">
        <v>112.692677</v>
      </c>
      <c r="E244" s="7">
        <f t="shared" si="64"/>
        <v>-9.287935739875075E-3</v>
      </c>
      <c r="F244" s="3">
        <v>89.910004000000001</v>
      </c>
      <c r="G244" s="7">
        <f t="shared" si="65"/>
        <v>-2.2929722547154641E-2</v>
      </c>
      <c r="H244" s="3">
        <v>53.108835999999997</v>
      </c>
      <c r="I244" s="7">
        <f t="shared" si="66"/>
        <v>-1.8293760117308988E-2</v>
      </c>
      <c r="J244" s="3">
        <v>37.233179</v>
      </c>
      <c r="K244" s="7">
        <f t="shared" si="67"/>
        <v>-2.2997406873926596E-2</v>
      </c>
      <c r="L244" s="3">
        <v>77.176985999999999</v>
      </c>
      <c r="M244" s="7">
        <f t="shared" si="68"/>
        <v>-8.0879462183252038E-3</v>
      </c>
      <c r="N244" s="3">
        <v>17.096587</v>
      </c>
      <c r="O244" s="7">
        <f t="shared" si="69"/>
        <v>-1.816126802162954E-2</v>
      </c>
      <c r="P244" s="3">
        <v>53.019365999999998</v>
      </c>
      <c r="Q244" s="7">
        <f t="shared" si="70"/>
        <v>-1.1636525228148953E-2</v>
      </c>
      <c r="R244" s="3">
        <v>7.8159970000000003</v>
      </c>
      <c r="S244" s="7">
        <f t="shared" si="71"/>
        <v>-1.6029559409944771E-2</v>
      </c>
      <c r="T244" s="3">
        <v>63.915374999999997</v>
      </c>
      <c r="U244" s="7">
        <f t="shared" si="72"/>
        <v>-1.2901303496991479E-2</v>
      </c>
      <c r="V244" s="3">
        <v>52.512289000000003</v>
      </c>
      <c r="W244" s="7">
        <f t="shared" si="73"/>
        <v>-1.597677858894786E-2</v>
      </c>
      <c r="X244" s="3">
        <v>161.81182100000001</v>
      </c>
      <c r="Y244" s="7">
        <f t="shared" si="74"/>
        <v>1.6015906205852914E-2</v>
      </c>
      <c r="Z244" s="3">
        <v>128.88222200000001</v>
      </c>
      <c r="AA244" s="7">
        <f t="shared" si="75"/>
        <v>-2.152309163793753E-2</v>
      </c>
      <c r="AB244" s="3">
        <v>7.89</v>
      </c>
      <c r="AC244" s="7">
        <f t="shared" si="76"/>
        <v>1.0243277848911658E-2</v>
      </c>
      <c r="AD244" s="3">
        <v>70.866371000000001</v>
      </c>
      <c r="AE244" s="7">
        <f t="shared" si="77"/>
        <v>1.7517064887702549E-2</v>
      </c>
      <c r="AF244" s="3">
        <v>57.784590999999999</v>
      </c>
      <c r="AG244" s="7">
        <f t="shared" si="78"/>
        <v>1.1825227435529273E-2</v>
      </c>
      <c r="AH244" s="3">
        <v>29.150941</v>
      </c>
      <c r="AI244" s="7">
        <f t="shared" si="79"/>
        <v>1.6832694563259976E-2</v>
      </c>
      <c r="AJ244" s="3">
        <v>75.734955999999997</v>
      </c>
      <c r="AK244" s="7">
        <f t="shared" si="80"/>
        <v>-1.4330601504140006E-2</v>
      </c>
      <c r="AL244" s="3">
        <v>5.09</v>
      </c>
      <c r="AM244" s="7">
        <f t="shared" si="81"/>
        <v>2.8282828282828243E-2</v>
      </c>
      <c r="AN244" s="3">
        <v>0.74</v>
      </c>
      <c r="AO244" s="7">
        <f t="shared" si="82"/>
        <v>1.3698630136986356E-2</v>
      </c>
      <c r="AP244" s="3">
        <v>15.52</v>
      </c>
      <c r="AQ244" s="7">
        <f t="shared" si="83"/>
        <v>6.4850843060959562E-3</v>
      </c>
    </row>
    <row r="245" spans="1:43" x14ac:dyDescent="0.3">
      <c r="A245" s="4">
        <v>42340</v>
      </c>
      <c r="B245" s="3">
        <v>17729.679688</v>
      </c>
      <c r="C245" s="7">
        <f t="shared" si="63"/>
        <v>-8.870014532820325E-3</v>
      </c>
      <c r="D245" s="3">
        <v>113.749172</v>
      </c>
      <c r="E245" s="7">
        <f t="shared" si="64"/>
        <v>-9.0335590200690818E-3</v>
      </c>
      <c r="F245" s="3">
        <v>92.019997000000004</v>
      </c>
      <c r="G245" s="7">
        <f t="shared" si="65"/>
        <v>-5.7266988959471243E-3</v>
      </c>
      <c r="H245" s="3">
        <v>54.098500999999999</v>
      </c>
      <c r="I245" s="7">
        <f t="shared" si="66"/>
        <v>-1.8113671354913485E-4</v>
      </c>
      <c r="J245" s="3">
        <v>38.109600999999998</v>
      </c>
      <c r="K245" s="7">
        <f t="shared" si="67"/>
        <v>-1.3510032249836379E-2</v>
      </c>
      <c r="L245" s="3">
        <v>77.806279000000004</v>
      </c>
      <c r="M245" s="7">
        <f t="shared" si="68"/>
        <v>-7.4009509785835093E-3</v>
      </c>
      <c r="N245" s="3">
        <v>17.412825999999999</v>
      </c>
      <c r="O245" s="7">
        <f t="shared" si="69"/>
        <v>-7.8828322587333188E-3</v>
      </c>
      <c r="P245" s="3">
        <v>53.643591000000001</v>
      </c>
      <c r="Q245" s="7">
        <f t="shared" si="70"/>
        <v>-1.3483984081669176E-2</v>
      </c>
      <c r="R245" s="3">
        <v>7.9433249999999997</v>
      </c>
      <c r="S245" s="7">
        <f t="shared" si="71"/>
        <v>-3.1063376328467118E-2</v>
      </c>
      <c r="T245" s="3">
        <v>64.750743999999997</v>
      </c>
      <c r="U245" s="7">
        <f t="shared" si="72"/>
        <v>-1.4051125102440443E-2</v>
      </c>
      <c r="V245" s="3">
        <v>53.364888000000001</v>
      </c>
      <c r="W245" s="7">
        <f t="shared" si="73"/>
        <v>-1.130851263211885E-2</v>
      </c>
      <c r="X245" s="3">
        <v>159.26111</v>
      </c>
      <c r="Y245" s="7">
        <f t="shared" si="74"/>
        <v>-1.2399877217215138E-3</v>
      </c>
      <c r="Z245" s="3">
        <v>131.71718300000001</v>
      </c>
      <c r="AA245" s="7">
        <f t="shared" si="75"/>
        <v>-4.6120276407286553E-3</v>
      </c>
      <c r="AB245" s="3">
        <v>7.81</v>
      </c>
      <c r="AC245" s="7">
        <f t="shared" si="76"/>
        <v>-2.0075282308657516E-2</v>
      </c>
      <c r="AD245" s="3">
        <v>69.646371000000002</v>
      </c>
      <c r="AE245" s="7">
        <f t="shared" si="77"/>
        <v>-1.2086212416361541E-2</v>
      </c>
      <c r="AF245" s="3">
        <v>57.109260999999996</v>
      </c>
      <c r="AG245" s="7">
        <f t="shared" si="78"/>
        <v>-2.5641820092596745E-3</v>
      </c>
      <c r="AH245" s="3">
        <v>28.668375000000001</v>
      </c>
      <c r="AI245" s="7">
        <f t="shared" si="79"/>
        <v>-6.3083328640858749E-2</v>
      </c>
      <c r="AJ245" s="3">
        <v>76.836062999999996</v>
      </c>
      <c r="AK245" s="7">
        <f t="shared" si="80"/>
        <v>-2.8574877173662472E-2</v>
      </c>
      <c r="AL245" s="3">
        <v>4.95</v>
      </c>
      <c r="AM245" s="7">
        <f t="shared" si="81"/>
        <v>4.4303797468354444E-2</v>
      </c>
      <c r="AN245" s="3">
        <v>0.73</v>
      </c>
      <c r="AO245" s="7">
        <f t="shared" si="82"/>
        <v>0</v>
      </c>
      <c r="AP245" s="3">
        <v>15.42</v>
      </c>
      <c r="AQ245" s="7">
        <f t="shared" si="83"/>
        <v>-6.8277889321926799E-2</v>
      </c>
    </row>
    <row r="246" spans="1:43" x14ac:dyDescent="0.3">
      <c r="A246" s="4">
        <v>42339</v>
      </c>
      <c r="B246" s="3">
        <v>17888.349609000001</v>
      </c>
      <c r="C246" s="7">
        <f t="shared" si="63"/>
        <v>9.5051042973894884E-3</v>
      </c>
      <c r="D246" s="3">
        <v>114.78609899999999</v>
      </c>
      <c r="E246" s="7">
        <f t="shared" si="64"/>
        <v>-8.1150165282481979E-3</v>
      </c>
      <c r="F246" s="3">
        <v>92.550003000000004</v>
      </c>
      <c r="G246" s="7">
        <f t="shared" si="65"/>
        <v>1.1917822128994393E-2</v>
      </c>
      <c r="H246" s="3">
        <v>54.108302000000002</v>
      </c>
      <c r="I246" s="7">
        <f t="shared" si="66"/>
        <v>1.6007416579906231E-2</v>
      </c>
      <c r="J246" s="3">
        <v>38.631514000000003</v>
      </c>
      <c r="K246" s="7">
        <f t="shared" si="67"/>
        <v>6.6717598491663477E-3</v>
      </c>
      <c r="L246" s="3">
        <v>78.386413000000005</v>
      </c>
      <c r="M246" s="7">
        <f t="shared" si="68"/>
        <v>9.1139427385118488E-3</v>
      </c>
      <c r="N246" s="3">
        <v>17.551179000000001</v>
      </c>
      <c r="O246" s="7">
        <f t="shared" si="69"/>
        <v>2.1801449428417774E-2</v>
      </c>
      <c r="P246" s="3">
        <v>54.376806999999999</v>
      </c>
      <c r="Q246" s="7">
        <f t="shared" si="70"/>
        <v>1.4605296670059387E-2</v>
      </c>
      <c r="R246" s="3">
        <v>8.1979819999999997</v>
      </c>
      <c r="S246" s="7">
        <f t="shared" si="71"/>
        <v>7.220229469303785E-3</v>
      </c>
      <c r="T246" s="3">
        <v>65.673530999999997</v>
      </c>
      <c r="U246" s="7">
        <f t="shared" si="72"/>
        <v>1.3947207918312055E-2</v>
      </c>
      <c r="V246" s="3">
        <v>53.975268</v>
      </c>
      <c r="W246" s="7">
        <f t="shared" si="73"/>
        <v>1.1070790863419555E-2</v>
      </c>
      <c r="X246" s="3">
        <v>159.45883699999999</v>
      </c>
      <c r="Y246" s="7">
        <f t="shared" si="74"/>
        <v>-8.0537704222394257E-4</v>
      </c>
      <c r="Z246" s="3">
        <v>132.32748100000001</v>
      </c>
      <c r="AA246" s="7">
        <f t="shared" si="75"/>
        <v>8.5527096004949232E-3</v>
      </c>
      <c r="AB246" s="3">
        <v>7.97</v>
      </c>
      <c r="AC246" s="7">
        <f t="shared" si="76"/>
        <v>0</v>
      </c>
      <c r="AD246" s="3">
        <v>70.498429999999999</v>
      </c>
      <c r="AE246" s="7">
        <f t="shared" si="77"/>
        <v>4.2758173188728321E-3</v>
      </c>
      <c r="AF246" s="3">
        <v>57.256076</v>
      </c>
      <c r="AG246" s="7">
        <f t="shared" si="78"/>
        <v>2.5493218118992633E-3</v>
      </c>
      <c r="AH246" s="3">
        <v>30.598638999999999</v>
      </c>
      <c r="AI246" s="7">
        <f t="shared" si="79"/>
        <v>1.7021306580184525E-2</v>
      </c>
      <c r="AJ246" s="3">
        <v>79.096227999999996</v>
      </c>
      <c r="AK246" s="7">
        <f t="shared" si="80"/>
        <v>2.8165019841308592E-3</v>
      </c>
      <c r="AL246" s="3">
        <v>4.74</v>
      </c>
      <c r="AM246" s="7">
        <f t="shared" si="81"/>
        <v>-6.2893081761005165E-3</v>
      </c>
      <c r="AN246" s="3">
        <v>0.73</v>
      </c>
      <c r="AO246" s="7">
        <f t="shared" si="82"/>
        <v>-5.1948051948051965E-2</v>
      </c>
      <c r="AP246" s="3">
        <v>16.549999</v>
      </c>
      <c r="AQ246" s="7">
        <f t="shared" si="83"/>
        <v>2.4227135069654349E-3</v>
      </c>
    </row>
    <row r="247" spans="1:43" x14ac:dyDescent="0.3">
      <c r="A247" s="4">
        <v>42338</v>
      </c>
      <c r="B247" s="3">
        <v>17719.919922000001</v>
      </c>
      <c r="C247" s="7">
        <f t="shared" si="63"/>
        <v>-5.2472157023727428E-3</v>
      </c>
      <c r="D247" s="3">
        <v>115.725211</v>
      </c>
      <c r="E247" s="7">
        <f t="shared" si="64"/>
        <v>4.1592813333850565E-3</v>
      </c>
      <c r="F247" s="3">
        <v>91.459998999999996</v>
      </c>
      <c r="G247" s="7">
        <f t="shared" si="65"/>
        <v>-7.7031465271378829E-3</v>
      </c>
      <c r="H247" s="3">
        <v>53.255814000000001</v>
      </c>
      <c r="I247" s="7">
        <f t="shared" si="66"/>
        <v>7.7878260864301385E-3</v>
      </c>
      <c r="J247" s="3">
        <v>38.375481999999998</v>
      </c>
      <c r="K247" s="7">
        <f t="shared" si="67"/>
        <v>-5.3598701455628284E-3</v>
      </c>
      <c r="L247" s="3">
        <v>77.678455999999997</v>
      </c>
      <c r="M247" s="7">
        <f t="shared" si="68"/>
        <v>-6.3255504417003561E-4</v>
      </c>
      <c r="N247" s="3">
        <v>17.176701999999999</v>
      </c>
      <c r="O247" s="7">
        <f t="shared" si="69"/>
        <v>-2.8603317292829056E-3</v>
      </c>
      <c r="P247" s="3">
        <v>53.594050000000003</v>
      </c>
      <c r="Q247" s="7">
        <f t="shared" si="70"/>
        <v>-2.2136002996223647E-3</v>
      </c>
      <c r="R247" s="3">
        <v>8.1392150000000001</v>
      </c>
      <c r="S247" s="7">
        <f t="shared" si="71"/>
        <v>1.9631937501307428E-2</v>
      </c>
      <c r="T247" s="3">
        <v>64.770167999999998</v>
      </c>
      <c r="U247" s="7">
        <f t="shared" si="72"/>
        <v>-7.294884657605305E-3</v>
      </c>
      <c r="V247" s="3">
        <v>53.384262</v>
      </c>
      <c r="W247" s="7">
        <f t="shared" si="73"/>
        <v>-5.2356058015364804E-3</v>
      </c>
      <c r="X247" s="3">
        <v>159.58736500000001</v>
      </c>
      <c r="Y247" s="7">
        <f t="shared" si="74"/>
        <v>-1.3204572222282107E-2</v>
      </c>
      <c r="Z247" s="3">
        <v>131.20532</v>
      </c>
      <c r="AA247" s="7">
        <f t="shared" si="75"/>
        <v>-6.3826647341087561E-3</v>
      </c>
      <c r="AB247" s="3">
        <v>7.97</v>
      </c>
      <c r="AC247" s="7">
        <f t="shared" si="76"/>
        <v>-2.9232643118148771E-2</v>
      </c>
      <c r="AD247" s="3">
        <v>70.198274999999995</v>
      </c>
      <c r="AE247" s="7">
        <f t="shared" si="77"/>
        <v>-1.2799592802170356E-2</v>
      </c>
      <c r="AF247" s="3">
        <v>57.110483000000002</v>
      </c>
      <c r="AG247" s="7">
        <f t="shared" si="78"/>
        <v>-1.7532129360765203E-2</v>
      </c>
      <c r="AH247" s="3">
        <v>30.086527</v>
      </c>
      <c r="AI247" s="7">
        <f t="shared" si="79"/>
        <v>2.1739100166067837E-2</v>
      </c>
      <c r="AJ247" s="3">
        <v>78.874078999999995</v>
      </c>
      <c r="AK247" s="7">
        <f t="shared" si="80"/>
        <v>5.2936225798554393E-3</v>
      </c>
      <c r="AL247" s="3">
        <v>4.7699999999999996</v>
      </c>
      <c r="AM247" s="7">
        <f t="shared" si="81"/>
        <v>-3.2454361054766734E-2</v>
      </c>
      <c r="AN247" s="3">
        <v>0.77</v>
      </c>
      <c r="AO247" s="7">
        <f t="shared" si="82"/>
        <v>-2.5316455696202556E-2</v>
      </c>
      <c r="AP247" s="3">
        <v>16.510000000000002</v>
      </c>
      <c r="AQ247" s="7">
        <f t="shared" si="83"/>
        <v>3.5759096612296259E-2</v>
      </c>
    </row>
    <row r="248" spans="1:43" x14ac:dyDescent="0.3">
      <c r="A248" s="4">
        <v>42335</v>
      </c>
      <c r="B248" s="3">
        <v>17813.390625</v>
      </c>
      <c r="C248" s="7">
        <f t="shared" si="63"/>
        <v>0</v>
      </c>
      <c r="D248" s="3">
        <v>115.24587099999999</v>
      </c>
      <c r="E248" s="7">
        <f t="shared" si="64"/>
        <v>-1.8639440454240042E-3</v>
      </c>
      <c r="F248" s="3">
        <v>92.169998000000007</v>
      </c>
      <c r="G248" s="7">
        <f t="shared" si="65"/>
        <v>4.3587339334880681E-3</v>
      </c>
      <c r="H248" s="3">
        <v>52.844271999999997</v>
      </c>
      <c r="I248" s="7">
        <f t="shared" si="66"/>
        <v>4.4701390265129426E-3</v>
      </c>
      <c r="J248" s="3">
        <v>38.582278000000002</v>
      </c>
      <c r="K248" s="7">
        <f t="shared" si="67"/>
        <v>-2.0376319270127841E-3</v>
      </c>
      <c r="L248" s="3">
        <v>77.727622999999994</v>
      </c>
      <c r="M248" s="7">
        <f t="shared" si="68"/>
        <v>6.3295542331576193E-4</v>
      </c>
      <c r="N248" s="3">
        <v>17.225974000000001</v>
      </c>
      <c r="O248" s="7">
        <f t="shared" si="69"/>
        <v>2.2934785600163821E-3</v>
      </c>
      <c r="P248" s="3">
        <v>53.712949000000002</v>
      </c>
      <c r="Q248" s="7">
        <f t="shared" si="70"/>
        <v>2.4038081564541347E-3</v>
      </c>
      <c r="R248" s="3">
        <v>7.9825030000000003</v>
      </c>
      <c r="S248" s="7">
        <f t="shared" si="71"/>
        <v>8.6633184827487053E-3</v>
      </c>
      <c r="T248" s="3">
        <v>65.246131000000005</v>
      </c>
      <c r="U248" s="7">
        <f t="shared" si="72"/>
        <v>4.6365223552502499E-3</v>
      </c>
      <c r="V248" s="3">
        <v>53.665232000000003</v>
      </c>
      <c r="W248" s="7">
        <f t="shared" si="73"/>
        <v>3.0785490565625739E-3</v>
      </c>
      <c r="X248" s="3">
        <v>161.722846</v>
      </c>
      <c r="Y248" s="7">
        <f t="shared" si="74"/>
        <v>7.3280518098841618E-3</v>
      </c>
      <c r="Z248" s="3">
        <v>132.04813899999999</v>
      </c>
      <c r="AA248" s="7">
        <f t="shared" si="75"/>
        <v>6.684832484673553E-4</v>
      </c>
      <c r="AB248" s="3">
        <v>8.2100000000000009</v>
      </c>
      <c r="AC248" s="7">
        <f t="shared" si="76"/>
        <v>-7.2551390568317276E-3</v>
      </c>
      <c r="AD248" s="3">
        <v>71.108434000000003</v>
      </c>
      <c r="AE248" s="7">
        <f t="shared" si="77"/>
        <v>3.8272196730639862E-3</v>
      </c>
      <c r="AF248" s="3">
        <v>58.129618999999998</v>
      </c>
      <c r="AG248" s="7">
        <f t="shared" si="78"/>
        <v>-5.8101397221320683E-3</v>
      </c>
      <c r="AH248" s="3">
        <v>29.446389</v>
      </c>
      <c r="AI248" s="7">
        <f t="shared" si="79"/>
        <v>-3.486118848099784E-2</v>
      </c>
      <c r="AJ248" s="3">
        <v>78.458748</v>
      </c>
      <c r="AK248" s="7">
        <f t="shared" si="80"/>
        <v>-2.4611973412247412E-4</v>
      </c>
      <c r="AL248" s="3">
        <v>4.93</v>
      </c>
      <c r="AM248" s="7">
        <f t="shared" si="81"/>
        <v>-3.7109375000000111E-2</v>
      </c>
      <c r="AN248" s="3">
        <v>0.79</v>
      </c>
      <c r="AO248" s="7">
        <f t="shared" si="82"/>
        <v>-1.2499999999999956E-2</v>
      </c>
      <c r="AP248" s="3">
        <v>15.94</v>
      </c>
      <c r="AQ248" s="7">
        <f t="shared" si="83"/>
        <v>-7.1636575422248217E-2</v>
      </c>
    </row>
    <row r="249" spans="1:43" x14ac:dyDescent="0.3">
      <c r="A249" s="4">
        <v>42333</v>
      </c>
      <c r="B249" s="3">
        <v>17813.390625</v>
      </c>
      <c r="C249" s="7">
        <f t="shared" si="63"/>
        <v>6.7435393227288642E-5</v>
      </c>
      <c r="D249" s="3">
        <v>115.461084</v>
      </c>
      <c r="E249" s="7">
        <f t="shared" si="64"/>
        <v>-7.1500519267858609E-3</v>
      </c>
      <c r="F249" s="3">
        <v>91.769997000000004</v>
      </c>
      <c r="G249" s="7">
        <f t="shared" si="65"/>
        <v>-2.5000326086955793E-3</v>
      </c>
      <c r="H249" s="3">
        <v>52.609102</v>
      </c>
      <c r="I249" s="7">
        <f t="shared" si="66"/>
        <v>-1.0322599893987427E-2</v>
      </c>
      <c r="J249" s="3">
        <v>38.661054999999998</v>
      </c>
      <c r="K249" s="7">
        <f t="shared" si="67"/>
        <v>-5.0684537201537427E-3</v>
      </c>
      <c r="L249" s="3">
        <v>77.678455999999997</v>
      </c>
      <c r="M249" s="7">
        <f t="shared" si="68"/>
        <v>4.5778259246702646E-3</v>
      </c>
      <c r="N249" s="3">
        <v>17.186557000000001</v>
      </c>
      <c r="O249" s="7">
        <f t="shared" si="69"/>
        <v>-1.7171697223299365E-3</v>
      </c>
      <c r="P249" s="3">
        <v>53.584142999999997</v>
      </c>
      <c r="Q249" s="7">
        <f t="shared" si="70"/>
        <v>-1.8456789807245189E-3</v>
      </c>
      <c r="R249" s="3">
        <v>7.9139419999999996</v>
      </c>
      <c r="S249" s="7">
        <f t="shared" si="71"/>
        <v>-1.4634171850852806E-2</v>
      </c>
      <c r="T249" s="3">
        <v>64.945012000000006</v>
      </c>
      <c r="U249" s="7">
        <f t="shared" si="72"/>
        <v>1.1979841554070614E-3</v>
      </c>
      <c r="V249" s="3">
        <v>53.500528000000003</v>
      </c>
      <c r="W249" s="7">
        <f t="shared" si="73"/>
        <v>-1.0853334130463965E-3</v>
      </c>
      <c r="X249" s="3">
        <v>160.54635400000001</v>
      </c>
      <c r="Y249" s="7">
        <f t="shared" si="74"/>
        <v>1.2331006661312482E-3</v>
      </c>
      <c r="Z249" s="3">
        <v>131.959926</v>
      </c>
      <c r="AA249" s="7">
        <f t="shared" si="75"/>
        <v>7.8591904746101449E-3</v>
      </c>
      <c r="AB249" s="3">
        <v>8.27</v>
      </c>
      <c r="AC249" s="7">
        <f t="shared" si="76"/>
        <v>-3.6144578313254128E-3</v>
      </c>
      <c r="AD249" s="3">
        <v>70.837323999999995</v>
      </c>
      <c r="AE249" s="7">
        <f t="shared" si="77"/>
        <v>3.7042677406047275E-3</v>
      </c>
      <c r="AF249" s="3">
        <v>58.469334000000003</v>
      </c>
      <c r="AG249" s="7">
        <f t="shared" si="78"/>
        <v>5.3405218435285118E-3</v>
      </c>
      <c r="AH249" s="3">
        <v>30.510003999999999</v>
      </c>
      <c r="AI249" s="7">
        <f t="shared" si="79"/>
        <v>3.1937429523143379E-4</v>
      </c>
      <c r="AJ249" s="3">
        <v>78.478063000000006</v>
      </c>
      <c r="AK249" s="7">
        <f t="shared" si="80"/>
        <v>-7.6941511445299815E-3</v>
      </c>
      <c r="AL249" s="3">
        <v>5.12</v>
      </c>
      <c r="AM249" s="7">
        <f t="shared" si="81"/>
        <v>-8.0789946140035984E-2</v>
      </c>
      <c r="AN249" s="3">
        <v>0.8</v>
      </c>
      <c r="AO249" s="7">
        <f t="shared" si="82"/>
        <v>-2.4390243902438935E-2</v>
      </c>
      <c r="AP249" s="3">
        <v>17.170000000000002</v>
      </c>
      <c r="AQ249" s="7">
        <f t="shared" si="83"/>
        <v>-5.8207217694983271E-4</v>
      </c>
    </row>
    <row r="250" spans="1:43" x14ac:dyDescent="0.3">
      <c r="A250" s="4">
        <v>42332</v>
      </c>
      <c r="B250" s="3">
        <v>17812.189452999999</v>
      </c>
      <c r="C250" s="7">
        <f t="shared" si="63"/>
        <v>1.0965051550473337E-3</v>
      </c>
      <c r="D250" s="3">
        <v>116.292582</v>
      </c>
      <c r="E250" s="7">
        <f t="shared" si="64"/>
        <v>9.5965801888420188E-3</v>
      </c>
      <c r="F250" s="3">
        <v>92</v>
      </c>
      <c r="G250" s="7">
        <f t="shared" si="65"/>
        <v>4.3498260586116722E-4</v>
      </c>
      <c r="H250" s="3">
        <v>53.157829</v>
      </c>
      <c r="I250" s="7">
        <f t="shared" si="66"/>
        <v>1.1072329072039366E-3</v>
      </c>
      <c r="J250" s="3">
        <v>38.858004999999999</v>
      </c>
      <c r="K250" s="7">
        <f t="shared" si="67"/>
        <v>8.175775727438328E-3</v>
      </c>
      <c r="L250" s="3">
        <v>77.324477999999999</v>
      </c>
      <c r="M250" s="7">
        <f t="shared" si="68"/>
        <v>-5.815411596741038E-3</v>
      </c>
      <c r="N250" s="3">
        <v>17.21612</v>
      </c>
      <c r="O250" s="7">
        <f t="shared" si="69"/>
        <v>0</v>
      </c>
      <c r="P250" s="3">
        <v>53.683225</v>
      </c>
      <c r="Q250" s="7">
        <f t="shared" si="70"/>
        <v>-1.8422601663825589E-3</v>
      </c>
      <c r="R250" s="3">
        <v>8.0314759999999996</v>
      </c>
      <c r="S250" s="7">
        <f t="shared" si="71"/>
        <v>2.2443930275264368E-2</v>
      </c>
      <c r="T250" s="3">
        <v>64.867301999999995</v>
      </c>
      <c r="U250" s="7">
        <f t="shared" si="72"/>
        <v>-1.4951873052513331E-3</v>
      </c>
      <c r="V250" s="3">
        <v>53.558656999999997</v>
      </c>
      <c r="W250" s="7">
        <f t="shared" si="73"/>
        <v>-5.7553838507904409E-3</v>
      </c>
      <c r="X250" s="3">
        <v>160.34862799999999</v>
      </c>
      <c r="Y250" s="7">
        <f t="shared" si="74"/>
        <v>-7.7087426286160943E-3</v>
      </c>
      <c r="Z250" s="3">
        <v>130.930915</v>
      </c>
      <c r="AA250" s="7">
        <f t="shared" si="75"/>
        <v>8.3019333763745262E-3</v>
      </c>
      <c r="AB250" s="3">
        <v>8.3000000000000007</v>
      </c>
      <c r="AC250" s="7">
        <f t="shared" si="76"/>
        <v>2.3427866831073008E-2</v>
      </c>
      <c r="AD250" s="3">
        <v>70.575891999999996</v>
      </c>
      <c r="AE250" s="7">
        <f t="shared" si="77"/>
        <v>8.4394059103132246E-3</v>
      </c>
      <c r="AF250" s="3">
        <v>58.158735999999998</v>
      </c>
      <c r="AG250" s="7">
        <f t="shared" si="78"/>
        <v>-5.6422310187107527E-3</v>
      </c>
      <c r="AH250" s="3">
        <v>30.500263</v>
      </c>
      <c r="AI250" s="7">
        <f t="shared" si="79"/>
        <v>6.9695909469013939E-2</v>
      </c>
      <c r="AJ250" s="3">
        <v>79.086567000000002</v>
      </c>
      <c r="AK250" s="7">
        <f t="shared" si="80"/>
        <v>1.9930229565580104E-2</v>
      </c>
      <c r="AL250" s="3">
        <v>5.57</v>
      </c>
      <c r="AM250" s="7">
        <f t="shared" si="81"/>
        <v>6.2977099236641187E-2</v>
      </c>
      <c r="AN250" s="3">
        <v>0.82</v>
      </c>
      <c r="AO250" s="7">
        <f t="shared" si="82"/>
        <v>-1.2048192771084376E-2</v>
      </c>
      <c r="AP250" s="3">
        <v>17.18</v>
      </c>
      <c r="AQ250" s="7">
        <f t="shared" si="83"/>
        <v>8.1183134046570071E-2</v>
      </c>
    </row>
    <row r="251" spans="1:43" x14ac:dyDescent="0.3">
      <c r="A251" s="4">
        <v>42331</v>
      </c>
      <c r="B251" s="3">
        <v>17792.679688</v>
      </c>
      <c r="C251" s="7">
        <f t="shared" si="63"/>
        <v>-1.7465883020867379E-3</v>
      </c>
      <c r="D251" s="3">
        <v>115.187179</v>
      </c>
      <c r="E251" s="7">
        <f t="shared" si="64"/>
        <v>-1.2992478388341722E-2</v>
      </c>
      <c r="F251" s="3">
        <v>91.959998999999996</v>
      </c>
      <c r="G251" s="7">
        <f t="shared" si="65"/>
        <v>1.6338198809240367E-3</v>
      </c>
      <c r="H251" s="3">
        <v>53.099035999999998</v>
      </c>
      <c r="I251" s="7">
        <f t="shared" si="66"/>
        <v>0</v>
      </c>
      <c r="J251" s="3">
        <v>38.542887</v>
      </c>
      <c r="K251" s="7">
        <f t="shared" si="67"/>
        <v>-5.0839140082081791E-3</v>
      </c>
      <c r="L251" s="3">
        <v>77.776781999999997</v>
      </c>
      <c r="M251" s="7">
        <f t="shared" si="68"/>
        <v>-8.3991227857685979E-3</v>
      </c>
      <c r="N251" s="3">
        <v>17.21612</v>
      </c>
      <c r="O251" s="7">
        <f t="shared" si="69"/>
        <v>-1.019829012026563E-2</v>
      </c>
      <c r="P251" s="3">
        <v>53.782305999999998</v>
      </c>
      <c r="Q251" s="7">
        <f t="shared" si="70"/>
        <v>-8.5845011275809124E-3</v>
      </c>
      <c r="R251" s="3">
        <v>7.855175</v>
      </c>
      <c r="S251" s="7">
        <f t="shared" si="71"/>
        <v>-7.4257557106179872E-3</v>
      </c>
      <c r="T251" s="3">
        <v>64.964436000000006</v>
      </c>
      <c r="U251" s="7">
        <f t="shared" si="72"/>
        <v>-9.772041188719105E-3</v>
      </c>
      <c r="V251" s="3">
        <v>53.868692000000003</v>
      </c>
      <c r="W251" s="7">
        <f t="shared" si="73"/>
        <v>-3.9412673122104502E-3</v>
      </c>
      <c r="X251" s="3">
        <v>161.59431699999999</v>
      </c>
      <c r="Y251" s="7">
        <f t="shared" si="74"/>
        <v>2.1458644835323781E-3</v>
      </c>
      <c r="Z251" s="3">
        <v>129.85288499999999</v>
      </c>
      <c r="AA251" s="7">
        <f t="shared" si="75"/>
        <v>1.7586920171127396E-2</v>
      </c>
      <c r="AB251" s="3">
        <v>8.11</v>
      </c>
      <c r="AC251" s="7">
        <f t="shared" si="76"/>
        <v>4.1078305519897329E-2</v>
      </c>
      <c r="AD251" s="3">
        <v>69.985258000000002</v>
      </c>
      <c r="AE251" s="7">
        <f t="shared" si="77"/>
        <v>2.0471514864220719E-2</v>
      </c>
      <c r="AF251" s="3">
        <v>58.488742999999999</v>
      </c>
      <c r="AG251" s="7">
        <f t="shared" si="78"/>
        <v>3.1629555328558379E-3</v>
      </c>
      <c r="AH251" s="3">
        <v>28.513021999999999</v>
      </c>
      <c r="AI251" s="7">
        <f t="shared" si="79"/>
        <v>3.4178522612138273E-4</v>
      </c>
      <c r="AJ251" s="3">
        <v>77.541154000000006</v>
      </c>
      <c r="AK251" s="7">
        <f t="shared" si="80"/>
        <v>6.1410933191319295E-3</v>
      </c>
      <c r="AL251" s="3">
        <v>5.24</v>
      </c>
      <c r="AM251" s="7">
        <f t="shared" si="81"/>
        <v>1.9455252918288091E-2</v>
      </c>
      <c r="AN251" s="3">
        <v>0.83</v>
      </c>
      <c r="AO251" s="7">
        <f t="shared" si="82"/>
        <v>-0.16161616161616166</v>
      </c>
      <c r="AP251" s="3">
        <v>15.89</v>
      </c>
      <c r="AQ251" s="7">
        <f t="shared" si="83"/>
        <v>-2.9321989656567404E-2</v>
      </c>
    </row>
    <row r="252" spans="1:43" x14ac:dyDescent="0.3">
      <c r="A252" s="4">
        <v>42328</v>
      </c>
      <c r="B252" s="3">
        <v>17823.810547000001</v>
      </c>
      <c r="C252" s="7">
        <f t="shared" si="63"/>
        <v>5.1351621716879681E-3</v>
      </c>
      <c r="D252" s="3">
        <v>116.703446</v>
      </c>
      <c r="E252" s="7">
        <f t="shared" si="64"/>
        <v>4.3778738387170169E-3</v>
      </c>
      <c r="F252" s="3">
        <v>91.809997999999993</v>
      </c>
      <c r="G252" s="7">
        <f t="shared" si="65"/>
        <v>5.4485613459331894E-4</v>
      </c>
      <c r="H252" s="3">
        <v>53.099035999999998</v>
      </c>
      <c r="I252" s="7">
        <f t="shared" si="66"/>
        <v>4.6347803420772049E-3</v>
      </c>
      <c r="J252" s="3">
        <v>38.739837000000001</v>
      </c>
      <c r="K252" s="7">
        <f t="shared" si="67"/>
        <v>8.2009187887619461E-3</v>
      </c>
      <c r="L252" s="3">
        <v>78.435571999999993</v>
      </c>
      <c r="M252" s="7">
        <f t="shared" si="68"/>
        <v>-4.865359017562576E-3</v>
      </c>
      <c r="N252" s="3">
        <v>17.393504</v>
      </c>
      <c r="O252" s="7">
        <f t="shared" si="69"/>
        <v>-2.2612385621597619E-3</v>
      </c>
      <c r="P252" s="3">
        <v>54.247998000000003</v>
      </c>
      <c r="Q252" s="7">
        <f t="shared" si="70"/>
        <v>-5.6302468344101575E-3</v>
      </c>
      <c r="R252" s="3">
        <v>7.9139419999999996</v>
      </c>
      <c r="S252" s="7">
        <f t="shared" si="71"/>
        <v>1.2392229041287006E-3</v>
      </c>
      <c r="T252" s="3">
        <v>65.605536000000001</v>
      </c>
      <c r="U252" s="7">
        <f t="shared" si="72"/>
        <v>-1.7736194743133149E-3</v>
      </c>
      <c r="V252" s="3">
        <v>54.081842999999999</v>
      </c>
      <c r="W252" s="7">
        <f t="shared" si="73"/>
        <v>-2.6800400846999084E-3</v>
      </c>
      <c r="X252" s="3">
        <v>161.2483</v>
      </c>
      <c r="Y252" s="7">
        <f t="shared" si="74"/>
        <v>1.658198181092585E-3</v>
      </c>
      <c r="Z252" s="3">
        <v>127.608642</v>
      </c>
      <c r="AA252" s="7">
        <f t="shared" si="75"/>
        <v>2.6407111464276989E-2</v>
      </c>
      <c r="AB252" s="3">
        <v>7.79</v>
      </c>
      <c r="AC252" s="7">
        <f t="shared" si="76"/>
        <v>1.6971279373368064E-2</v>
      </c>
      <c r="AD252" s="3">
        <v>68.581294999999997</v>
      </c>
      <c r="AE252" s="7">
        <f t="shared" si="77"/>
        <v>3.9687931752958594E-3</v>
      </c>
      <c r="AF252" s="3">
        <v>58.304329000000003</v>
      </c>
      <c r="AG252" s="7">
        <f t="shared" si="78"/>
        <v>-1.0378928495460626E-2</v>
      </c>
      <c r="AH252" s="3">
        <v>28.50328</v>
      </c>
      <c r="AI252" s="7">
        <f t="shared" si="79"/>
        <v>-6.8310350287226207E-4</v>
      </c>
      <c r="AJ252" s="3">
        <v>77.067873000000006</v>
      </c>
      <c r="AK252" s="7">
        <f t="shared" si="80"/>
        <v>-6.3512116661067486E-3</v>
      </c>
      <c r="AL252" s="3">
        <v>5.14</v>
      </c>
      <c r="AM252" s="7">
        <f t="shared" si="81"/>
        <v>9.8231827111983083E-3</v>
      </c>
      <c r="AN252" s="3">
        <v>0.99</v>
      </c>
      <c r="AO252" s="7">
        <f t="shared" si="82"/>
        <v>-7.4766355140186924E-2</v>
      </c>
      <c r="AP252" s="3">
        <v>16.370000999999998</v>
      </c>
      <c r="AQ252" s="7">
        <f t="shared" si="83"/>
        <v>-3.762486772486795E-2</v>
      </c>
    </row>
    <row r="253" spans="1:43" x14ac:dyDescent="0.3">
      <c r="A253" s="4">
        <v>42327</v>
      </c>
      <c r="B253" s="3">
        <v>17732.75</v>
      </c>
      <c r="C253" s="7">
        <f t="shared" si="63"/>
        <v>-2.4863935157681816E-4</v>
      </c>
      <c r="D253" s="3">
        <v>116.19476</v>
      </c>
      <c r="E253" s="7">
        <f t="shared" si="64"/>
        <v>1.2703535571970459E-2</v>
      </c>
      <c r="F253" s="3">
        <v>91.760002</v>
      </c>
      <c r="G253" s="7">
        <f t="shared" si="65"/>
        <v>5.3687412743093077E-3</v>
      </c>
      <c r="H253" s="3">
        <v>52.854069000000003</v>
      </c>
      <c r="I253" s="7">
        <f t="shared" si="66"/>
        <v>1.6713262433982745E-3</v>
      </c>
      <c r="J253" s="3">
        <v>38.424719000000003</v>
      </c>
      <c r="K253" s="7">
        <f t="shared" si="67"/>
        <v>8.2687299717465468E-3</v>
      </c>
      <c r="L253" s="3">
        <v>78.819055000000006</v>
      </c>
      <c r="M253" s="7">
        <f t="shared" si="68"/>
        <v>9.699004118934873E-3</v>
      </c>
      <c r="N253" s="3">
        <v>17.432924</v>
      </c>
      <c r="O253" s="7">
        <f t="shared" si="69"/>
        <v>-8.4080064192962878E-3</v>
      </c>
      <c r="P253" s="3">
        <v>54.555157000000001</v>
      </c>
      <c r="Q253" s="7">
        <f t="shared" si="70"/>
        <v>1.4551024582636352E-3</v>
      </c>
      <c r="R253" s="3">
        <v>7.904147</v>
      </c>
      <c r="S253" s="7">
        <f t="shared" si="71"/>
        <v>8.749951822365265E-3</v>
      </c>
      <c r="T253" s="3">
        <v>65.722102000000007</v>
      </c>
      <c r="U253" s="7">
        <f t="shared" si="72"/>
        <v>3.1135208265320458E-3</v>
      </c>
      <c r="V253" s="3">
        <v>54.227173999999998</v>
      </c>
      <c r="W253" s="7">
        <f t="shared" si="73"/>
        <v>5.3889654562757627E-3</v>
      </c>
      <c r="X253" s="3">
        <v>160.98136099999999</v>
      </c>
      <c r="Y253" s="7">
        <f t="shared" si="74"/>
        <v>9.7984624784790419E-3</v>
      </c>
      <c r="Z253" s="3">
        <v>124.325563</v>
      </c>
      <c r="AA253" s="7">
        <f t="shared" si="75"/>
        <v>2.5288448800855345E-3</v>
      </c>
      <c r="AB253" s="3">
        <v>7.66</v>
      </c>
      <c r="AC253" s="7">
        <f t="shared" si="76"/>
        <v>-3.9011703511053764E-3</v>
      </c>
      <c r="AD253" s="3">
        <v>68.310186000000002</v>
      </c>
      <c r="AE253" s="7">
        <f t="shared" si="77"/>
        <v>1.1034738472918137E-2</v>
      </c>
      <c r="AF253" s="3">
        <v>58.915812000000003</v>
      </c>
      <c r="AG253" s="7">
        <f t="shared" si="78"/>
        <v>-3.7748153922861905E-3</v>
      </c>
      <c r="AH253" s="3">
        <v>28.522763999999999</v>
      </c>
      <c r="AI253" s="7">
        <f t="shared" si="79"/>
        <v>-2.6271995005382243E-2</v>
      </c>
      <c r="AJ253" s="3">
        <v>77.560475999999994</v>
      </c>
      <c r="AK253" s="7">
        <f t="shared" si="80"/>
        <v>-5.4495286685493083E-3</v>
      </c>
      <c r="AL253" s="3">
        <v>5.09</v>
      </c>
      <c r="AM253" s="7">
        <f t="shared" si="81"/>
        <v>3.9447731755424265E-3</v>
      </c>
      <c r="AN253" s="3">
        <v>1.07</v>
      </c>
      <c r="AO253" s="7">
        <f t="shared" si="82"/>
        <v>-1.834862385321101E-2</v>
      </c>
      <c r="AP253" s="3">
        <v>17.010000000000002</v>
      </c>
      <c r="AQ253" s="7">
        <f t="shared" si="83"/>
        <v>-2.1851582625162735E-2</v>
      </c>
    </row>
    <row r="254" spans="1:43" x14ac:dyDescent="0.3">
      <c r="A254" s="4">
        <v>42326</v>
      </c>
      <c r="B254" s="3">
        <v>17737.160156000002</v>
      </c>
      <c r="C254" s="7">
        <f t="shared" si="63"/>
        <v>1.4160505217416297E-2</v>
      </c>
      <c r="D254" s="3">
        <v>114.73719199999999</v>
      </c>
      <c r="E254" s="7">
        <f t="shared" si="64"/>
        <v>3.1665042298447688E-2</v>
      </c>
      <c r="F254" s="3">
        <v>91.269997000000004</v>
      </c>
      <c r="G254" s="7">
        <f t="shared" si="65"/>
        <v>1.0853870740349159E-2</v>
      </c>
      <c r="H254" s="3">
        <v>52.765880000000003</v>
      </c>
      <c r="I254" s="7">
        <f t="shared" si="66"/>
        <v>1.6613125421225616E-2</v>
      </c>
      <c r="J254" s="3">
        <v>38.109600999999998</v>
      </c>
      <c r="K254" s="7">
        <f t="shared" si="67"/>
        <v>1.4948853738959267E-2</v>
      </c>
      <c r="L254" s="3">
        <v>78.061931999999999</v>
      </c>
      <c r="M254" s="7">
        <f t="shared" si="68"/>
        <v>1.5996935268904888E-2</v>
      </c>
      <c r="N254" s="3">
        <v>17.580742999999998</v>
      </c>
      <c r="O254" s="7">
        <f t="shared" si="69"/>
        <v>2.4110193327871787E-2</v>
      </c>
      <c r="P254" s="3">
        <v>54.475889000000002</v>
      </c>
      <c r="Q254" s="7">
        <f t="shared" si="70"/>
        <v>2.785563115975731E-2</v>
      </c>
      <c r="R254" s="3">
        <v>7.8355860000000002</v>
      </c>
      <c r="S254" s="7">
        <f t="shared" si="71"/>
        <v>-1.5990126227659829E-2</v>
      </c>
      <c r="T254" s="3">
        <v>65.518109999999993</v>
      </c>
      <c r="U254" s="7">
        <f t="shared" si="72"/>
        <v>1.9960670601765207E-2</v>
      </c>
      <c r="V254" s="3">
        <v>53.936512</v>
      </c>
      <c r="W254" s="7">
        <f t="shared" si="73"/>
        <v>1.2918456368692599E-2</v>
      </c>
      <c r="X254" s="3">
        <v>159.419297</v>
      </c>
      <c r="Y254" s="7">
        <f t="shared" si="74"/>
        <v>1.4853046504626821E-2</v>
      </c>
      <c r="Z254" s="3">
        <v>124.011956</v>
      </c>
      <c r="AA254" s="7">
        <f t="shared" si="75"/>
        <v>2.8530683391090328E-3</v>
      </c>
      <c r="AB254" s="3">
        <v>7.69</v>
      </c>
      <c r="AC254" s="7">
        <f t="shared" si="76"/>
        <v>3.49932705248992E-2</v>
      </c>
      <c r="AD254" s="3">
        <v>67.564627999999999</v>
      </c>
      <c r="AE254" s="7">
        <f t="shared" si="77"/>
        <v>-4.292969467171448E-2</v>
      </c>
      <c r="AF254" s="3">
        <v>59.139051000000002</v>
      </c>
      <c r="AG254" s="7">
        <f t="shared" si="78"/>
        <v>1.6855851200067384E-2</v>
      </c>
      <c r="AH254" s="3">
        <v>29.292331999999998</v>
      </c>
      <c r="AI254" s="7">
        <f t="shared" si="79"/>
        <v>2.0359693267161916E-2</v>
      </c>
      <c r="AJ254" s="3">
        <v>77.985460000000003</v>
      </c>
      <c r="AK254" s="7">
        <f t="shared" si="80"/>
        <v>9.7548593542848838E-3</v>
      </c>
      <c r="AL254" s="3">
        <v>5.07</v>
      </c>
      <c r="AM254" s="7">
        <f t="shared" si="81"/>
        <v>4.3209876543209846E-2</v>
      </c>
      <c r="AN254" s="3">
        <v>1.0900000000000001</v>
      </c>
      <c r="AO254" s="7">
        <f t="shared" si="82"/>
        <v>0</v>
      </c>
      <c r="AP254" s="3">
        <v>17.389999</v>
      </c>
      <c r="AQ254" s="7">
        <f t="shared" si="83"/>
        <v>3.4503273914531452E-2</v>
      </c>
    </row>
    <row r="255" spans="1:43" x14ac:dyDescent="0.3">
      <c r="A255" s="4">
        <v>42325</v>
      </c>
      <c r="B255" s="3">
        <v>17489.5</v>
      </c>
      <c r="C255" s="7">
        <f>B255/B256-1</f>
        <v>3.7123093145119412E-4</v>
      </c>
      <c r="D255" s="3">
        <v>111.215547</v>
      </c>
      <c r="E255" s="7">
        <f>D255/D256-1</f>
        <v>-4.2914500646761278E-3</v>
      </c>
      <c r="F255" s="3">
        <v>90.290001000000004</v>
      </c>
      <c r="G255" s="7">
        <f>F255/F256-1</f>
        <v>5.792625792334638E-3</v>
      </c>
      <c r="H255" s="3">
        <v>51.903599</v>
      </c>
      <c r="I255" s="7">
        <f>H255/H256-1</f>
        <v>-8.2381605748274023E-3</v>
      </c>
      <c r="J255" s="3">
        <v>37.548296999999998</v>
      </c>
      <c r="K255" s="7">
        <f>J255/J256-1</f>
        <v>2.6237099626480465E-4</v>
      </c>
      <c r="L255" s="3">
        <v>76.832841999999999</v>
      </c>
      <c r="M255" s="7">
        <f>L255/L256-1</f>
        <v>1.4097158460688597E-3</v>
      </c>
      <c r="N255" s="3">
        <v>17.166847000000001</v>
      </c>
      <c r="O255" s="7">
        <f>N255/N256-1</f>
        <v>-5.7374227019824087E-4</v>
      </c>
      <c r="P255" s="3">
        <v>52.999552999999999</v>
      </c>
      <c r="Q255" s="7">
        <f>P255/P256-1</f>
        <v>-3.7250283452019417E-3</v>
      </c>
      <c r="R255" s="3">
        <v>7.9629139999999996</v>
      </c>
      <c r="S255" s="7">
        <f>R255/R256-1</f>
        <v>8.6848155890673073E-3</v>
      </c>
      <c r="T255" s="3">
        <v>64.235917999999998</v>
      </c>
      <c r="U255" s="7">
        <f>T255/T256-1</f>
        <v>-5.7135016975998765E-3</v>
      </c>
      <c r="V255" s="3">
        <v>53.248621999999997</v>
      </c>
      <c r="W255" s="7">
        <f>V255/V256-1</f>
        <v>-5.6088473783902915E-3</v>
      </c>
      <c r="X255" s="3">
        <v>157.08609000000001</v>
      </c>
      <c r="Y255" s="7">
        <f>X255/X256-1</f>
        <v>1.5596048949211294E-2</v>
      </c>
      <c r="Z255" s="3">
        <v>123.659148</v>
      </c>
      <c r="AA255" s="7">
        <f>Z255/Z256-1</f>
        <v>4.4190697995373229E-2</v>
      </c>
      <c r="AB255" s="3">
        <v>7.43</v>
      </c>
      <c r="AC255" s="7">
        <f>AB255/AB256-1</f>
        <v>-2.6212319790301475E-2</v>
      </c>
      <c r="AD255" s="3">
        <v>70.595260999999994</v>
      </c>
      <c r="AE255" s="7">
        <f>AD255/AD256-1</f>
        <v>8.2976901405746872E-3</v>
      </c>
      <c r="AF255" s="3">
        <v>58.158735999999998</v>
      </c>
      <c r="AG255" s="7">
        <f>AF255/AF256-1</f>
        <v>3.5424205745967274E-2</v>
      </c>
      <c r="AH255" s="3">
        <v>28.707849</v>
      </c>
      <c r="AI255" s="7">
        <f>AH255/AH256-1</f>
        <v>-3.5667523097930087E-2</v>
      </c>
      <c r="AJ255" s="3">
        <v>77.232072000000002</v>
      </c>
      <c r="AK255" s="7">
        <f>AJ255/AJ256-1</f>
        <v>-1.1619310748700373E-2</v>
      </c>
      <c r="AL255" s="3">
        <v>4.8600000000000003</v>
      </c>
      <c r="AM255" s="7">
        <f>AL255/AL256-1</f>
        <v>-2.2132796780684028E-2</v>
      </c>
      <c r="AN255" s="3">
        <v>1.0900000000000001</v>
      </c>
      <c r="AO255" s="7">
        <f>AN255/AN256-1</f>
        <v>-4.3859649122806821E-2</v>
      </c>
      <c r="AP255" s="3">
        <v>16.809999000000001</v>
      </c>
      <c r="AQ255" s="7">
        <f>AP255/AP256-1</f>
        <v>-4.5970598980102029E-2</v>
      </c>
    </row>
    <row r="256" spans="1:43" x14ac:dyDescent="0.3">
      <c r="A256" s="4">
        <v>42324</v>
      </c>
      <c r="B256" s="3">
        <v>17483.009765999999</v>
      </c>
      <c r="C256" s="3"/>
      <c r="D256" s="3">
        <v>111.69488</v>
      </c>
      <c r="E256" s="3"/>
      <c r="F256" s="3">
        <v>89.769997000000004</v>
      </c>
      <c r="G256" s="3"/>
      <c r="H256" s="3">
        <v>52.334741000000001</v>
      </c>
      <c r="I256" s="7"/>
      <c r="J256" s="3">
        <v>37.538448000000002</v>
      </c>
      <c r="K256" s="7"/>
      <c r="L256" s="3">
        <v>76.724682000000001</v>
      </c>
      <c r="M256" s="7"/>
      <c r="N256" s="3">
        <v>17.176701999999999</v>
      </c>
      <c r="O256" s="7"/>
      <c r="P256" s="3">
        <v>53.197716</v>
      </c>
      <c r="Q256" s="7"/>
      <c r="R256" s="3">
        <v>7.8943529999999997</v>
      </c>
      <c r="S256" s="7"/>
      <c r="T256" s="3">
        <v>64.605039000000005</v>
      </c>
      <c r="U256" s="7"/>
      <c r="V256" s="3">
        <v>53.548969999999997</v>
      </c>
      <c r="W256" s="7"/>
      <c r="X256" s="3">
        <v>154.67379</v>
      </c>
      <c r="Y256" s="7"/>
      <c r="Z256" s="3">
        <v>118.425828</v>
      </c>
      <c r="AA256" s="7"/>
      <c r="AB256" s="3">
        <v>7.63</v>
      </c>
      <c r="AC256" s="7"/>
      <c r="AD256" s="3">
        <v>70.014303999999996</v>
      </c>
      <c r="AE256" s="7"/>
      <c r="AF256" s="3">
        <v>56.168993999999998</v>
      </c>
      <c r="AG256" s="7"/>
      <c r="AH256" s="3">
        <v>29.769659000000001</v>
      </c>
      <c r="AI256" s="7"/>
      <c r="AJ256" s="3">
        <v>78.140005000000002</v>
      </c>
      <c r="AK256" s="7"/>
      <c r="AL256" s="3">
        <v>4.97</v>
      </c>
      <c r="AM256" s="7"/>
      <c r="AN256" s="3">
        <v>1.1399999999999999</v>
      </c>
      <c r="AO256" s="7"/>
      <c r="AP256" s="3">
        <v>17.620000999999998</v>
      </c>
      <c r="AQ256" s="7"/>
    </row>
    <row r="258" spans="1:43" x14ac:dyDescent="0.3">
      <c r="A258" t="s">
        <v>29</v>
      </c>
      <c r="C258" s="9">
        <f t="shared" ref="C258:AQ258" si="84">AVERAGE(C5:C256)*255</f>
        <v>8.6823110282298249E-2</v>
      </c>
      <c r="D258" s="2"/>
      <c r="E258" s="9">
        <f t="shared" si="84"/>
        <v>-2.5995518841301853E-2</v>
      </c>
      <c r="F258" s="2"/>
      <c r="G258" s="9">
        <f t="shared" si="84"/>
        <v>0.16676416508399153</v>
      </c>
      <c r="H258" s="2"/>
      <c r="I258" s="9">
        <f t="shared" si="84"/>
        <v>0.13339830627822719</v>
      </c>
      <c r="J258" s="2"/>
      <c r="K258" s="9">
        <f t="shared" si="84"/>
        <v>6.6408774389679043E-2</v>
      </c>
      <c r="L258" s="2"/>
      <c r="M258" s="10">
        <f t="shared" si="84"/>
        <v>8.643929595346532E-2</v>
      </c>
      <c r="N258" s="2"/>
      <c r="O258" s="10">
        <f t="shared" si="84"/>
        <v>0.21132502460434793</v>
      </c>
      <c r="P258" s="2"/>
      <c r="Q258" s="10">
        <f t="shared" si="84"/>
        <v>8.0546254371928E-2</v>
      </c>
      <c r="R258" s="2"/>
      <c r="S258" s="10">
        <f t="shared" si="84"/>
        <v>0.10089375530353265</v>
      </c>
      <c r="T258" s="2"/>
      <c r="U258" s="10">
        <f t="shared" si="84"/>
        <v>0.24348662395626836</v>
      </c>
      <c r="V258" s="2"/>
      <c r="W258" s="10">
        <f t="shared" si="84"/>
        <v>2.1720037554691894E-2</v>
      </c>
      <c r="X258" s="2"/>
      <c r="Y258" s="10">
        <f t="shared" si="84"/>
        <v>-1.9025299394186384E-4</v>
      </c>
      <c r="Z258" s="2"/>
      <c r="AA258" s="10">
        <f t="shared" si="84"/>
        <v>9.51879853069304E-2</v>
      </c>
      <c r="AB258" s="2"/>
      <c r="AC258" s="10">
        <f t="shared" si="84"/>
        <v>0.32717421367764676</v>
      </c>
      <c r="AD258" s="2"/>
      <c r="AE258" s="10">
        <f t="shared" si="84"/>
        <v>5.6580805904550072E-2</v>
      </c>
      <c r="AF258" s="2"/>
      <c r="AG258" s="10">
        <f t="shared" si="84"/>
        <v>0.24992406604242148</v>
      </c>
      <c r="AH258" s="2"/>
      <c r="AI258" s="10">
        <f t="shared" si="84"/>
        <v>-0.39581049504885135</v>
      </c>
      <c r="AJ258" s="2"/>
      <c r="AK258" s="10">
        <f t="shared" si="84"/>
        <v>0.11012147186905455</v>
      </c>
      <c r="AL258" s="2"/>
      <c r="AM258" s="10">
        <f t="shared" si="84"/>
        <v>0.91228723866043959</v>
      </c>
      <c r="AN258" s="2"/>
      <c r="AO258" s="10">
        <f t="shared" si="84"/>
        <v>0.28599221824777227</v>
      </c>
      <c r="AP258" s="2"/>
      <c r="AQ258" s="10">
        <f t="shared" si="84"/>
        <v>-0.13784053078510314</v>
      </c>
    </row>
    <row r="259" spans="1:43" x14ac:dyDescent="0.3">
      <c r="A259" t="s">
        <v>30</v>
      </c>
      <c r="C259" s="11">
        <f>_xlfn.VAR.P(C5:C255)</f>
        <v>7.2985510779592254E-5</v>
      </c>
      <c r="D259" s="11"/>
      <c r="E259" s="11">
        <f t="shared" ref="E259:AQ259" si="85">_xlfn.VAR.P(E5:E255)</f>
        <v>2.3451957404998814E-4</v>
      </c>
      <c r="F259" s="11"/>
      <c r="G259" s="11">
        <f t="shared" si="85"/>
        <v>2.5632707204208588E-4</v>
      </c>
      <c r="H259" s="11"/>
      <c r="I259" s="11">
        <f t="shared" si="85"/>
        <v>2.1030387086403554E-4</v>
      </c>
      <c r="J259" s="11"/>
      <c r="K259" s="11">
        <f t="shared" si="85"/>
        <v>1.5490724135820374E-4</v>
      </c>
      <c r="L259" s="11"/>
      <c r="M259" s="11">
        <f t="shared" si="85"/>
        <v>1.8446549397177034E-4</v>
      </c>
      <c r="N259" s="11"/>
      <c r="O259" s="11">
        <f t="shared" si="85"/>
        <v>4.1203770684204336E-4</v>
      </c>
      <c r="P259" s="11"/>
      <c r="Q259" s="11">
        <f t="shared" si="85"/>
        <v>4.1108782866555266E-4</v>
      </c>
      <c r="R259" s="11"/>
      <c r="S259" s="11">
        <f t="shared" si="85"/>
        <v>6.4461396925408578E-4</v>
      </c>
      <c r="T259" s="11"/>
      <c r="U259" s="11">
        <f t="shared" si="85"/>
        <v>2.5606163591073165E-4</v>
      </c>
      <c r="V259" s="11"/>
      <c r="W259" s="11">
        <f t="shared" si="85"/>
        <v>2.2082131006904328E-4</v>
      </c>
      <c r="X259" s="11"/>
      <c r="Y259" s="11">
        <f t="shared" si="85"/>
        <v>1.3719245494295249E-4</v>
      </c>
      <c r="Z259" s="11"/>
      <c r="AA259" s="11">
        <f t="shared" si="85"/>
        <v>1.4720768590445422E-4</v>
      </c>
      <c r="AB259" s="11"/>
      <c r="AC259" s="11">
        <f t="shared" si="85"/>
        <v>8.141611023383356E-4</v>
      </c>
      <c r="AD259" s="11"/>
      <c r="AE259" s="11">
        <f t="shared" si="85"/>
        <v>1.9968113324867994E-4</v>
      </c>
      <c r="AF259" s="11"/>
      <c r="AG259" s="11">
        <f t="shared" si="85"/>
        <v>1.5166945004190273E-4</v>
      </c>
      <c r="AH259" s="11"/>
      <c r="AI259" s="11">
        <f t="shared" si="85"/>
        <v>3.1078631150823861E-3</v>
      </c>
      <c r="AJ259" s="11"/>
      <c r="AK259" s="11">
        <f t="shared" si="85"/>
        <v>1.6748061502574858E-4</v>
      </c>
      <c r="AL259" s="11"/>
      <c r="AM259" s="11">
        <f t="shared" si="85"/>
        <v>1.947896797347984E-3</v>
      </c>
      <c r="AN259" s="11"/>
      <c r="AO259" s="11">
        <f t="shared" si="85"/>
        <v>1.7284000829197892E-2</v>
      </c>
      <c r="AP259" s="11"/>
      <c r="AQ259" s="11">
        <f t="shared" si="85"/>
        <v>4.5174194473950133E-3</v>
      </c>
    </row>
    <row r="260" spans="1:43" x14ac:dyDescent="0.3">
      <c r="A260" t="s">
        <v>31</v>
      </c>
      <c r="C260" s="11">
        <f>_xlfn.STDEV.S(C5:C255)*SQRT(250)</f>
        <v>0.13534904213062482</v>
      </c>
      <c r="D260" s="11">
        <f t="shared" ref="D260:AQ260" si="86">_xlfn.STDEV.S(D5:D255)*SQRT(250)</f>
        <v>124.05452639841431</v>
      </c>
      <c r="E260" s="11">
        <f t="shared" si="86"/>
        <v>0.24261989425137218</v>
      </c>
      <c r="F260" s="11">
        <f t="shared" si="86"/>
        <v>117.92093026940505</v>
      </c>
      <c r="G260" s="11">
        <f t="shared" si="86"/>
        <v>0.25364955170976267</v>
      </c>
      <c r="H260" s="11">
        <f t="shared" si="86"/>
        <v>50.465518768916297</v>
      </c>
      <c r="I260" s="11">
        <f t="shared" si="86"/>
        <v>0.22975263129477522</v>
      </c>
      <c r="J260" s="11">
        <f t="shared" si="86"/>
        <v>31.782792521149585</v>
      </c>
      <c r="K260" s="11">
        <f t="shared" si="86"/>
        <v>0.19718447601398326</v>
      </c>
      <c r="L260" s="11">
        <f t="shared" si="86"/>
        <v>83.484458891989007</v>
      </c>
      <c r="M260" s="11">
        <f t="shared" si="86"/>
        <v>0.21517629745609612</v>
      </c>
      <c r="N260" s="11">
        <f t="shared" si="86"/>
        <v>25.259507620581164</v>
      </c>
      <c r="O260" s="11">
        <f t="shared" si="86"/>
        <v>0.32159207766571751</v>
      </c>
      <c r="P260" s="11">
        <f t="shared" si="86"/>
        <v>67.240619464062689</v>
      </c>
      <c r="Q260" s="11">
        <f t="shared" si="86"/>
        <v>0.32122117768767006</v>
      </c>
      <c r="R260" s="11">
        <f t="shared" si="86"/>
        <v>11.751446887597121</v>
      </c>
      <c r="S260" s="11">
        <f t="shared" si="86"/>
        <v>0.40224135327285226</v>
      </c>
      <c r="T260" s="11">
        <f t="shared" si="86"/>
        <v>68.986487085416144</v>
      </c>
      <c r="U260" s="11">
        <f t="shared" si="86"/>
        <v>0.25351818596225728</v>
      </c>
      <c r="V260" s="11">
        <f t="shared" si="86"/>
        <v>39.886716760913743</v>
      </c>
      <c r="W260" s="11">
        <f t="shared" si="86"/>
        <v>0.23542758722658197</v>
      </c>
      <c r="X260" s="11">
        <f t="shared" si="86"/>
        <v>110.35270484990016</v>
      </c>
      <c r="Y260" s="11">
        <f t="shared" si="86"/>
        <v>0.18556752461215045</v>
      </c>
      <c r="Z260" s="11">
        <f t="shared" si="86"/>
        <v>86.5436842736964</v>
      </c>
      <c r="AA260" s="11">
        <f t="shared" si="86"/>
        <v>0.19222156268748314</v>
      </c>
      <c r="AB260" s="11">
        <f t="shared" si="86"/>
        <v>20.418657275644996</v>
      </c>
      <c r="AC260" s="11">
        <f t="shared" si="86"/>
        <v>0.45205578935229018</v>
      </c>
      <c r="AD260" s="11">
        <f t="shared" si="86"/>
        <v>72.980268904971581</v>
      </c>
      <c r="AE260" s="11">
        <f t="shared" si="86"/>
        <v>0.22387488569604824</v>
      </c>
      <c r="AF260" s="11">
        <f t="shared" si="86"/>
        <v>74.425124365857215</v>
      </c>
      <c r="AG260" s="11">
        <f t="shared" si="86"/>
        <v>0.19511286979724729</v>
      </c>
      <c r="AH260" s="11">
        <f t="shared" si="86"/>
        <v>83.703272722555397</v>
      </c>
      <c r="AI260" s="11">
        <f t="shared" si="86"/>
        <v>0.88321777715673211</v>
      </c>
      <c r="AJ260" s="11">
        <f t="shared" si="86"/>
        <v>87.400314175976121</v>
      </c>
      <c r="AK260" s="11">
        <f t="shared" si="86"/>
        <v>0.20503081322440997</v>
      </c>
      <c r="AL260" s="11">
        <f t="shared" si="86"/>
        <v>39.470817522019829</v>
      </c>
      <c r="AM260" s="11">
        <f t="shared" si="86"/>
        <v>0.69922964477655258</v>
      </c>
      <c r="AN260" s="11">
        <f t="shared" si="86"/>
        <v>3.5895118357686928</v>
      </c>
      <c r="AO260" s="11">
        <f t="shared" si="86"/>
        <v>2.0828548216639278</v>
      </c>
      <c r="AP260" s="11">
        <f t="shared" si="86"/>
        <v>42.335448476724999</v>
      </c>
      <c r="AQ260" s="11">
        <f t="shared" si="86"/>
        <v>1.0648343914882485</v>
      </c>
    </row>
  </sheetData>
  <mergeCells count="27">
    <mergeCell ref="AP3:AQ3"/>
    <mergeCell ref="D2:M2"/>
    <mergeCell ref="A2:C2"/>
    <mergeCell ref="N2:W2"/>
    <mergeCell ref="X2:AG2"/>
    <mergeCell ref="AH2:AQ2"/>
    <mergeCell ref="AF3:AG3"/>
    <mergeCell ref="AH3:AI3"/>
    <mergeCell ref="AJ3:AK3"/>
    <mergeCell ref="AL3:AM3"/>
    <mergeCell ref="AN3:AO3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1:AD1"/>
    <mergeCell ref="V3:W3"/>
    <mergeCell ref="X3:Y3"/>
    <mergeCell ref="Z3:AA3"/>
    <mergeCell ref="AB3:AC3"/>
    <mergeCell ref="AD3:AE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2"/>
  <sheetViews>
    <sheetView tabSelected="1" topLeftCell="D1" zoomScale="87" zoomScaleNormal="87" workbookViewId="0">
      <selection activeCell="O6" sqref="O6"/>
    </sheetView>
  </sheetViews>
  <sheetFormatPr defaultRowHeight="14.4" x14ac:dyDescent="0.3"/>
  <cols>
    <col min="1" max="1" width="17.88671875" style="2" bestFit="1" customWidth="1"/>
    <col min="2" max="2" width="12.109375" style="2" bestFit="1" customWidth="1"/>
    <col min="3" max="3" width="20.5546875" style="11" bestFit="1" customWidth="1"/>
    <col min="4" max="4" width="8.88671875" style="11"/>
    <col min="5" max="5" width="16.5546875" style="11" bestFit="1" customWidth="1"/>
    <col min="6" max="6" width="16.5546875" style="19" customWidth="1"/>
    <col min="7" max="7" width="18.6640625" bestFit="1" customWidth="1"/>
    <col min="8" max="8" width="17.88671875" bestFit="1" customWidth="1"/>
    <col min="9" max="9" width="13.77734375" bestFit="1" customWidth="1"/>
    <col min="10" max="10" width="8.88671875" style="55" customWidth="1"/>
    <col min="11" max="11" width="10.21875" style="55" customWidth="1"/>
    <col min="12" max="12" width="12.21875" style="12" customWidth="1"/>
    <col min="13" max="13" width="19.109375" style="12" bestFit="1" customWidth="1"/>
    <col min="14" max="14" width="11" style="12" bestFit="1" customWidth="1"/>
    <col min="15" max="15" width="26.33203125" bestFit="1" customWidth="1"/>
    <col min="16" max="16" width="25.5546875" bestFit="1" customWidth="1"/>
    <col min="17" max="17" width="25.6640625" bestFit="1" customWidth="1"/>
  </cols>
  <sheetData>
    <row r="1" spans="1:17" ht="15" thickBot="1" x14ac:dyDescent="0.35"/>
    <row r="2" spans="1:17" s="12" customFormat="1" ht="16.2" thickBot="1" x14ac:dyDescent="0.35">
      <c r="A2" s="82" t="s">
        <v>38</v>
      </c>
      <c r="B2" s="83"/>
      <c r="C2" s="51">
        <v>15</v>
      </c>
      <c r="D2" s="11"/>
      <c r="E2" s="34" t="s">
        <v>46</v>
      </c>
      <c r="K2" s="55"/>
      <c r="L2" s="55">
        <v>0</v>
      </c>
      <c r="N2" s="12">
        <v>10</v>
      </c>
    </row>
    <row r="3" spans="1:17" s="12" customFormat="1" x14ac:dyDescent="0.3">
      <c r="C3" s="11"/>
      <c r="D3" s="11"/>
      <c r="E3" s="34" t="s">
        <v>48</v>
      </c>
      <c r="F3" s="19"/>
      <c r="J3" s="55"/>
      <c r="K3" s="55"/>
    </row>
    <row r="4" spans="1:17" x14ac:dyDescent="0.3">
      <c r="A4" s="13" t="s">
        <v>32</v>
      </c>
      <c r="B4" s="13" t="s">
        <v>33</v>
      </c>
      <c r="C4" s="17" t="s">
        <v>29</v>
      </c>
      <c r="D4" s="17" t="s">
        <v>30</v>
      </c>
      <c r="E4" s="17" t="s">
        <v>31</v>
      </c>
      <c r="F4" s="34" t="s">
        <v>46</v>
      </c>
      <c r="G4" s="8" t="s">
        <v>35</v>
      </c>
      <c r="H4" s="8" t="s">
        <v>36</v>
      </c>
      <c r="I4" s="13" t="s">
        <v>45</v>
      </c>
      <c r="J4" s="56" t="s">
        <v>69</v>
      </c>
      <c r="K4" s="78" t="s">
        <v>70</v>
      </c>
      <c r="L4" s="8" t="s">
        <v>40</v>
      </c>
      <c r="M4" s="8" t="s">
        <v>71</v>
      </c>
      <c r="N4" s="8" t="s">
        <v>41</v>
      </c>
      <c r="O4" s="74" t="s">
        <v>72</v>
      </c>
      <c r="P4" s="74" t="s">
        <v>73</v>
      </c>
      <c r="Q4" s="74" t="s">
        <v>74</v>
      </c>
    </row>
    <row r="5" spans="1:17" x14ac:dyDescent="0.3">
      <c r="A5" s="13" t="s">
        <v>2</v>
      </c>
      <c r="B5" s="13" t="s">
        <v>2</v>
      </c>
      <c r="C5" s="17">
        <v>8.6800000000000002E-2</v>
      </c>
      <c r="D5" s="17">
        <v>7.2985510779592254E-5</v>
      </c>
      <c r="E5" s="17">
        <v>0.13534904213062482</v>
      </c>
      <c r="F5" s="34" t="s">
        <v>39</v>
      </c>
      <c r="G5" s="3" t="s">
        <v>39</v>
      </c>
      <c r="H5" s="3" t="s">
        <v>39</v>
      </c>
      <c r="I5" s="3"/>
      <c r="J5" s="57"/>
      <c r="K5" s="57"/>
      <c r="L5" s="3"/>
      <c r="M5" s="3"/>
      <c r="N5" s="3"/>
      <c r="O5" s="12"/>
    </row>
    <row r="6" spans="1:17" x14ac:dyDescent="0.3">
      <c r="A6" s="24" t="s">
        <v>9</v>
      </c>
      <c r="B6" s="22" t="s">
        <v>4</v>
      </c>
      <c r="C6" s="23">
        <v>-2.5899999999999999E-2</v>
      </c>
      <c r="D6" s="23">
        <v>2.3451957404998814E-4</v>
      </c>
      <c r="E6" s="23">
        <v>0.24261989425137218</v>
      </c>
      <c r="F6" s="35" t="str">
        <f>IF(C6&gt;$C$2%,"YES","NO")</f>
        <v>NO</v>
      </c>
      <c r="G6" s="36" t="str">
        <f t="shared" ref="G6:G25" si="0">IF(C6&gt;$C$5,"Outperform","Underperform")</f>
        <v>Underperform</v>
      </c>
      <c r="H6" s="36" t="str">
        <f>IF(C6&gt;$B$29,"Yes","No")</f>
        <v>No</v>
      </c>
      <c r="I6" s="36" t="str">
        <f t="shared" ref="I6:I25" si="1">IF((E6-$E$5)&gt;$C$2%,"Risky","Safe")</f>
        <v>Safe</v>
      </c>
      <c r="J6" s="68">
        <f>($C$26-C6)/$C$26</f>
        <v>1.0283897840622602</v>
      </c>
      <c r="K6" s="68">
        <f t="shared" ref="K6:K26" si="2">J6/$J$26</f>
        <v>5.9918979729604582E-2</v>
      </c>
      <c r="L6" s="37">
        <f>K6*100</f>
        <v>5.9918979729604587</v>
      </c>
      <c r="M6" s="37">
        <f>($C$29-C6)/$C$29</f>
        <v>1.1553689262147571</v>
      </c>
      <c r="N6" s="44">
        <v>5</v>
      </c>
      <c r="O6">
        <f>$L$2*L6+$N$2*N6</f>
        <v>50</v>
      </c>
      <c r="P6" s="20">
        <f>O6/$O$26</f>
        <v>8.3333333333333329E-2</v>
      </c>
      <c r="Q6" s="55">
        <f>P6*100</f>
        <v>8.3333333333333321</v>
      </c>
    </row>
    <row r="7" spans="1:17" x14ac:dyDescent="0.3">
      <c r="A7" s="24" t="s">
        <v>9</v>
      </c>
      <c r="B7" s="22" t="s">
        <v>5</v>
      </c>
      <c r="C7" s="23">
        <v>0.16669999999999999</v>
      </c>
      <c r="D7" s="23">
        <v>2.5632707204208588E-4</v>
      </c>
      <c r="E7" s="23">
        <v>0.25364955170976267</v>
      </c>
      <c r="F7" s="35" t="str">
        <f t="shared" ref="F7:F25" si="3">IF(C7&gt;$C$2%,"YES","NO")</f>
        <v>YES</v>
      </c>
      <c r="G7" s="36" t="str">
        <f t="shared" si="0"/>
        <v>Outperform</v>
      </c>
      <c r="H7" s="36" t="str">
        <f>IF(C7&gt;$B$29,"Yes","No")</f>
        <v>Yes</v>
      </c>
      <c r="I7" s="36" t="str">
        <f t="shared" si="1"/>
        <v>Safe</v>
      </c>
      <c r="J7" s="68">
        <f t="shared" ref="J7:J10" si="4">($C$26-C7)/$C$26</f>
        <v>0.81727501918228662</v>
      </c>
      <c r="K7" s="68">
        <f t="shared" si="2"/>
        <v>4.7618408960129165E-2</v>
      </c>
      <c r="L7" s="37">
        <f t="shared" ref="L6:L26" si="5">K7*100</f>
        <v>4.7618408960129166</v>
      </c>
      <c r="M7" s="37">
        <f t="shared" ref="M7:M10" si="6">($C$29-C7)/$C$29</f>
        <v>0</v>
      </c>
      <c r="N7" s="44">
        <v>1</v>
      </c>
      <c r="O7" s="12">
        <f t="shared" ref="O7:O25" si="7">$L$2*L7+$N$2*N7</f>
        <v>10</v>
      </c>
      <c r="P7" s="20">
        <f t="shared" ref="P7:P25" si="8">O7/$O$26</f>
        <v>1.6666666666666666E-2</v>
      </c>
      <c r="Q7" s="55">
        <f t="shared" ref="Q7:Q25" si="9">P7*100</f>
        <v>1.6666666666666667</v>
      </c>
    </row>
    <row r="8" spans="1:17" x14ac:dyDescent="0.3">
      <c r="A8" s="24" t="s">
        <v>9</v>
      </c>
      <c r="B8" s="22" t="s">
        <v>6</v>
      </c>
      <c r="C8" s="23">
        <v>0.13339999999999999</v>
      </c>
      <c r="D8" s="23">
        <v>2.1030387086403554E-4</v>
      </c>
      <c r="E8" s="23">
        <v>0.22975263129477522</v>
      </c>
      <c r="F8" s="35" t="str">
        <f t="shared" si="3"/>
        <v>NO</v>
      </c>
      <c r="G8" s="36" t="str">
        <f t="shared" si="0"/>
        <v>Outperform</v>
      </c>
      <c r="H8" s="36" t="str">
        <f>IF(C8&gt;$B$29,"Yes","No")</f>
        <v>Yes</v>
      </c>
      <c r="I8" s="36" t="str">
        <f t="shared" si="1"/>
        <v>Safe</v>
      </c>
      <c r="J8" s="68">
        <f t="shared" si="4"/>
        <v>0.85377617011947826</v>
      </c>
      <c r="K8" s="68">
        <f t="shared" si="2"/>
        <v>4.9745143158589862E-2</v>
      </c>
      <c r="L8" s="37">
        <f t="shared" si="5"/>
        <v>4.9745143158589862</v>
      </c>
      <c r="M8" s="37">
        <f t="shared" si="6"/>
        <v>0.19976004799040192</v>
      </c>
      <c r="N8" s="44">
        <v>2</v>
      </c>
      <c r="O8" s="12">
        <f t="shared" si="7"/>
        <v>20</v>
      </c>
      <c r="P8" s="20">
        <f t="shared" si="8"/>
        <v>3.3333333333333333E-2</v>
      </c>
      <c r="Q8" s="55">
        <f t="shared" si="9"/>
        <v>3.3333333333333335</v>
      </c>
    </row>
    <row r="9" spans="1:17" x14ac:dyDescent="0.3">
      <c r="A9" s="24" t="s">
        <v>9</v>
      </c>
      <c r="B9" s="22" t="s">
        <v>7</v>
      </c>
      <c r="C9" s="23">
        <v>6.6400000000000001E-2</v>
      </c>
      <c r="D9" s="23">
        <v>1.5490724135820374E-4</v>
      </c>
      <c r="E9" s="23">
        <v>0.19718447601398326</v>
      </c>
      <c r="F9" s="35" t="str">
        <f t="shared" si="3"/>
        <v>NO</v>
      </c>
      <c r="G9" s="36" t="str">
        <f t="shared" si="0"/>
        <v>Underperform</v>
      </c>
      <c r="H9" s="36" t="str">
        <f>IF(C9&gt;$B$29,"Yes","No")</f>
        <v>No</v>
      </c>
      <c r="I9" s="36" t="str">
        <f t="shared" si="1"/>
        <v>Safe</v>
      </c>
      <c r="J9" s="68">
        <f t="shared" si="4"/>
        <v>0.92721692425737146</v>
      </c>
      <c r="K9" s="68">
        <f t="shared" si="2"/>
        <v>5.4024157912249536E-2</v>
      </c>
      <c r="L9" s="37">
        <f t="shared" si="5"/>
        <v>5.4024157912249535</v>
      </c>
      <c r="M9" s="37">
        <f t="shared" si="6"/>
        <v>0.60167966406718654</v>
      </c>
      <c r="N9" s="44">
        <v>4</v>
      </c>
      <c r="O9" s="12">
        <f t="shared" si="7"/>
        <v>40</v>
      </c>
      <c r="P9" s="20">
        <f t="shared" si="8"/>
        <v>6.6666666666666666E-2</v>
      </c>
      <c r="Q9" s="55">
        <f t="shared" si="9"/>
        <v>6.666666666666667</v>
      </c>
    </row>
    <row r="10" spans="1:17" x14ac:dyDescent="0.3">
      <c r="A10" s="24" t="s">
        <v>9</v>
      </c>
      <c r="B10" s="22" t="s">
        <v>8</v>
      </c>
      <c r="C10" s="23">
        <v>8.6400000000000005E-2</v>
      </c>
      <c r="D10" s="23">
        <v>1.8446549397177034E-4</v>
      </c>
      <c r="E10" s="23">
        <v>0.21517629745609612</v>
      </c>
      <c r="F10" s="35" t="str">
        <f t="shared" si="3"/>
        <v>NO</v>
      </c>
      <c r="G10" s="36" t="str">
        <f t="shared" si="0"/>
        <v>Underperform</v>
      </c>
      <c r="H10" s="36" t="str">
        <f>IF(C10&gt;$B$29,"Yes","No")</f>
        <v>Yes</v>
      </c>
      <c r="I10" s="36" t="str">
        <f t="shared" si="1"/>
        <v>Safe</v>
      </c>
      <c r="J10" s="68">
        <f t="shared" si="4"/>
        <v>0.90529431108188096</v>
      </c>
      <c r="K10" s="68">
        <f t="shared" si="2"/>
        <v>5.2746840075336199E-2</v>
      </c>
      <c r="L10" s="37">
        <f t="shared" si="5"/>
        <v>5.2746840075336197</v>
      </c>
      <c r="M10" s="37">
        <f t="shared" si="6"/>
        <v>0.48170365926814629</v>
      </c>
      <c r="N10" s="44">
        <v>3</v>
      </c>
      <c r="O10" s="12">
        <f t="shared" si="7"/>
        <v>30</v>
      </c>
      <c r="P10" s="20">
        <f t="shared" si="8"/>
        <v>0.05</v>
      </c>
      <c r="Q10" s="55">
        <f t="shared" si="9"/>
        <v>5</v>
      </c>
    </row>
    <row r="11" spans="1:17" x14ac:dyDescent="0.3">
      <c r="A11" s="25" t="s">
        <v>34</v>
      </c>
      <c r="B11" s="26" t="s">
        <v>10</v>
      </c>
      <c r="C11" s="27">
        <v>0.21129999999999999</v>
      </c>
      <c r="D11" s="27">
        <v>4.1203770684204336E-4</v>
      </c>
      <c r="E11" s="27">
        <v>0.32159207766571751</v>
      </c>
      <c r="F11" s="35" t="str">
        <f t="shared" si="3"/>
        <v>YES</v>
      </c>
      <c r="G11" s="38" t="str">
        <f t="shared" si="0"/>
        <v>Outperform</v>
      </c>
      <c r="H11" s="38" t="str">
        <f>IF(C11&gt;$B$30,"Yes","No")</f>
        <v>Yes</v>
      </c>
      <c r="I11" s="36" t="str">
        <f t="shared" si="1"/>
        <v>Risky</v>
      </c>
      <c r="J11" s="69">
        <f t="shared" ref="J11:J25" si="10">($C$26-C11)/$C$26</f>
        <v>0.76838759180094274</v>
      </c>
      <c r="K11" s="69">
        <f t="shared" si="2"/>
        <v>4.4769990183812419E-2</v>
      </c>
      <c r="L11" s="39">
        <f t="shared" si="5"/>
        <v>4.4769990183812416</v>
      </c>
      <c r="M11" s="39">
        <f>($C$30-C11)/$C$30</f>
        <v>0.13223819301848053</v>
      </c>
      <c r="N11" s="45">
        <v>5</v>
      </c>
      <c r="O11" s="12">
        <f t="shared" si="7"/>
        <v>50</v>
      </c>
      <c r="P11" s="20">
        <f t="shared" si="8"/>
        <v>8.3333333333333329E-2</v>
      </c>
      <c r="Q11" s="55">
        <f t="shared" si="9"/>
        <v>8.3333333333333321</v>
      </c>
    </row>
    <row r="12" spans="1:17" x14ac:dyDescent="0.3">
      <c r="A12" s="25" t="s">
        <v>34</v>
      </c>
      <c r="B12" s="26" t="s">
        <v>11</v>
      </c>
      <c r="C12" s="27">
        <v>8.0500000000000002E-2</v>
      </c>
      <c r="D12" s="27">
        <v>4.1108782866555266E-4</v>
      </c>
      <c r="E12" s="27">
        <v>0.32122117768767006</v>
      </c>
      <c r="F12" s="35" t="str">
        <f t="shared" si="3"/>
        <v>NO</v>
      </c>
      <c r="G12" s="38" t="str">
        <f t="shared" si="0"/>
        <v>Underperform</v>
      </c>
      <c r="H12" s="38" t="str">
        <f>IF(C12&gt;$B$30,"Yes","No")</f>
        <v>No</v>
      </c>
      <c r="I12" s="36" t="str">
        <f t="shared" si="1"/>
        <v>Risky</v>
      </c>
      <c r="J12" s="69">
        <f t="shared" si="10"/>
        <v>0.9117614819686507</v>
      </c>
      <c r="K12" s="69">
        <f t="shared" si="2"/>
        <v>5.3123648837225639E-2</v>
      </c>
      <c r="L12" s="39">
        <f t="shared" si="5"/>
        <v>5.3123648837225641</v>
      </c>
      <c r="M12" s="39">
        <f t="shared" ref="M12:M15" si="11">($C$30-C12)/$C$30</f>
        <v>0.6694045174537987</v>
      </c>
      <c r="N12" s="45">
        <v>3</v>
      </c>
      <c r="O12" s="12">
        <f t="shared" si="7"/>
        <v>30</v>
      </c>
      <c r="P12" s="20">
        <f t="shared" si="8"/>
        <v>0.05</v>
      </c>
      <c r="Q12" s="55">
        <f t="shared" si="9"/>
        <v>5</v>
      </c>
    </row>
    <row r="13" spans="1:17" x14ac:dyDescent="0.3">
      <c r="A13" s="25" t="s">
        <v>34</v>
      </c>
      <c r="B13" s="26" t="s">
        <v>12</v>
      </c>
      <c r="C13" s="27">
        <v>0.10088999999999999</v>
      </c>
      <c r="D13" s="27">
        <v>6.4461396925408578E-4</v>
      </c>
      <c r="E13" s="27">
        <v>0.40224135327285226</v>
      </c>
      <c r="F13" s="35" t="str">
        <f t="shared" si="3"/>
        <v>NO</v>
      </c>
      <c r="G13" s="38" t="str">
        <f t="shared" si="0"/>
        <v>Outperform</v>
      </c>
      <c r="H13" s="38" t="str">
        <f>IF(C13&gt;$B$30,"Yes","No")</f>
        <v>No</v>
      </c>
      <c r="I13" s="36" t="str">
        <f t="shared" si="1"/>
        <v>Risky</v>
      </c>
      <c r="J13" s="69">
        <f t="shared" si="10"/>
        <v>0.88941137783623803</v>
      </c>
      <c r="K13" s="69">
        <f t="shared" si="2"/>
        <v>5.1821423302492481E-2</v>
      </c>
      <c r="L13" s="39">
        <f t="shared" si="5"/>
        <v>5.1821423302492482</v>
      </c>
      <c r="M13" s="39">
        <f t="shared" si="11"/>
        <v>0.58566735112936352</v>
      </c>
      <c r="N13" s="45">
        <v>2</v>
      </c>
      <c r="O13" s="12">
        <f t="shared" si="7"/>
        <v>20</v>
      </c>
      <c r="P13" s="20">
        <f t="shared" si="8"/>
        <v>3.3333333333333333E-2</v>
      </c>
      <c r="Q13" s="55">
        <f t="shared" si="9"/>
        <v>3.3333333333333335</v>
      </c>
    </row>
    <row r="14" spans="1:17" x14ac:dyDescent="0.3">
      <c r="A14" s="25" t="s">
        <v>34</v>
      </c>
      <c r="B14" s="26" t="s">
        <v>13</v>
      </c>
      <c r="C14" s="27">
        <v>0.24349999999999999</v>
      </c>
      <c r="D14" s="27">
        <v>2.5606163591073165E-4</v>
      </c>
      <c r="E14" s="27">
        <v>0.25351818596225728</v>
      </c>
      <c r="F14" s="35" t="str">
        <f t="shared" si="3"/>
        <v>YES</v>
      </c>
      <c r="G14" s="38" t="str">
        <f t="shared" si="0"/>
        <v>Outperform</v>
      </c>
      <c r="H14" s="38" t="str">
        <f>IF(C14&gt;$B$30,"Yes","No")</f>
        <v>Yes</v>
      </c>
      <c r="I14" s="36" t="str">
        <f t="shared" si="1"/>
        <v>Safe</v>
      </c>
      <c r="J14" s="69">
        <f t="shared" si="10"/>
        <v>0.73309218458840297</v>
      </c>
      <c r="K14" s="69">
        <f t="shared" si="2"/>
        <v>4.2713508466381951E-2</v>
      </c>
      <c r="L14" s="39">
        <f t="shared" si="5"/>
        <v>4.2713508466381951</v>
      </c>
      <c r="M14" s="39">
        <f t="shared" si="11"/>
        <v>0</v>
      </c>
      <c r="N14" s="45">
        <v>1</v>
      </c>
      <c r="O14" s="12">
        <f t="shared" si="7"/>
        <v>10</v>
      </c>
      <c r="P14" s="20">
        <f t="shared" si="8"/>
        <v>1.6666666666666666E-2</v>
      </c>
      <c r="Q14" s="55">
        <f t="shared" si="9"/>
        <v>1.6666666666666667</v>
      </c>
    </row>
    <row r="15" spans="1:17" x14ac:dyDescent="0.3">
      <c r="A15" s="25" t="s">
        <v>34</v>
      </c>
      <c r="B15" s="26" t="s">
        <v>14</v>
      </c>
      <c r="C15" s="27">
        <v>2.1700000000000001E-2</v>
      </c>
      <c r="D15" s="27">
        <v>2.2082131006904328E-4</v>
      </c>
      <c r="E15" s="27">
        <v>0.23542758722658197</v>
      </c>
      <c r="F15" s="35" t="str">
        <f t="shared" si="3"/>
        <v>NO</v>
      </c>
      <c r="G15" s="38" t="str">
        <f t="shared" si="0"/>
        <v>Underperform</v>
      </c>
      <c r="H15" s="38" t="str">
        <f>IF(C15&gt;$B$30,"Yes","No")</f>
        <v>No</v>
      </c>
      <c r="I15" s="36" t="str">
        <f t="shared" si="1"/>
        <v>Safe</v>
      </c>
      <c r="J15" s="69">
        <f t="shared" si="10"/>
        <v>0.97621396470459276</v>
      </c>
      <c r="K15" s="69">
        <f t="shared" si="2"/>
        <v>5.6878963277750841E-2</v>
      </c>
      <c r="L15" s="39">
        <f t="shared" si="5"/>
        <v>5.6878963277750838</v>
      </c>
      <c r="M15" s="39">
        <f t="shared" si="11"/>
        <v>0.91088295687885013</v>
      </c>
      <c r="N15" s="45">
        <v>4</v>
      </c>
      <c r="O15" s="12">
        <f t="shared" si="7"/>
        <v>40</v>
      </c>
      <c r="P15" s="20">
        <f t="shared" si="8"/>
        <v>6.6666666666666666E-2</v>
      </c>
      <c r="Q15" s="55">
        <f t="shared" si="9"/>
        <v>6.666666666666667</v>
      </c>
    </row>
    <row r="16" spans="1:17" x14ac:dyDescent="0.3">
      <c r="A16" s="28" t="s">
        <v>15</v>
      </c>
      <c r="B16" s="29" t="s">
        <v>16</v>
      </c>
      <c r="C16" s="30">
        <v>-2.0000000000000001E-4</v>
      </c>
      <c r="D16" s="30">
        <v>1.3719245494295249E-4</v>
      </c>
      <c r="E16" s="30">
        <v>0.18556752461215045</v>
      </c>
      <c r="F16" s="35" t="str">
        <f t="shared" si="3"/>
        <v>NO</v>
      </c>
      <c r="G16" s="40" t="str">
        <f t="shared" si="0"/>
        <v>Underperform</v>
      </c>
      <c r="H16" s="40" t="str">
        <f>IF(C16&gt;$B$31,"Yes","No")</f>
        <v>No</v>
      </c>
      <c r="I16" s="36" t="str">
        <f t="shared" si="1"/>
        <v>Safe</v>
      </c>
      <c r="J16" s="70">
        <f t="shared" si="10"/>
        <v>1.0002192261317548</v>
      </c>
      <c r="K16" s="70">
        <f t="shared" si="2"/>
        <v>5.8277626309170938E-2</v>
      </c>
      <c r="L16" s="41">
        <f t="shared" si="5"/>
        <v>5.8277626309170936</v>
      </c>
      <c r="M16" s="41">
        <f>($C$31-C16)/$C$31</f>
        <v>1.0006114338122898</v>
      </c>
      <c r="N16" s="46">
        <v>5</v>
      </c>
      <c r="O16" s="12">
        <f t="shared" si="7"/>
        <v>50</v>
      </c>
      <c r="P16" s="20">
        <f t="shared" si="8"/>
        <v>8.3333333333333329E-2</v>
      </c>
      <c r="Q16" s="55">
        <f t="shared" si="9"/>
        <v>8.3333333333333321</v>
      </c>
    </row>
    <row r="17" spans="1:17" x14ac:dyDescent="0.3">
      <c r="A17" s="28" t="s">
        <v>15</v>
      </c>
      <c r="B17" s="29" t="s">
        <v>17</v>
      </c>
      <c r="C17" s="30">
        <v>9.5200000000000007E-2</v>
      </c>
      <c r="D17" s="30">
        <v>1.4720768590445422E-4</v>
      </c>
      <c r="E17" s="30">
        <v>0.19222156268748314</v>
      </c>
      <c r="F17" s="35" t="str">
        <f t="shared" si="3"/>
        <v>NO</v>
      </c>
      <c r="G17" s="40" t="str">
        <f t="shared" si="0"/>
        <v>Outperform</v>
      </c>
      <c r="H17" s="40" t="str">
        <f>IF(C17&gt;$B$31,"Yes","No")</f>
        <v>No</v>
      </c>
      <c r="I17" s="36" t="str">
        <f t="shared" si="1"/>
        <v>Safe</v>
      </c>
      <c r="J17" s="70">
        <f t="shared" si="10"/>
        <v>0.89564836128466507</v>
      </c>
      <c r="K17" s="70">
        <f t="shared" si="2"/>
        <v>5.2184820227094329E-2</v>
      </c>
      <c r="L17" s="41">
        <f t="shared" si="5"/>
        <v>5.2184820227094333</v>
      </c>
      <c r="M17" s="41">
        <f t="shared" ref="M17:M20" si="12">($C$31-C17)/$C$31</f>
        <v>0.70895750535004587</v>
      </c>
      <c r="N17" s="46">
        <v>3</v>
      </c>
      <c r="O17" s="12">
        <f t="shared" si="7"/>
        <v>30</v>
      </c>
      <c r="P17" s="20">
        <f t="shared" si="8"/>
        <v>0.05</v>
      </c>
      <c r="Q17" s="55">
        <f t="shared" si="9"/>
        <v>5</v>
      </c>
    </row>
    <row r="18" spans="1:17" x14ac:dyDescent="0.3">
      <c r="A18" s="28" t="s">
        <v>15</v>
      </c>
      <c r="B18" s="29" t="s">
        <v>18</v>
      </c>
      <c r="C18" s="30">
        <v>0.3271</v>
      </c>
      <c r="D18" s="30">
        <v>8.141611023383356E-4</v>
      </c>
      <c r="E18" s="30">
        <v>0.45205578935229018</v>
      </c>
      <c r="F18" s="35" t="str">
        <f t="shared" si="3"/>
        <v>YES</v>
      </c>
      <c r="G18" s="40" t="str">
        <f t="shared" si="0"/>
        <v>Outperform</v>
      </c>
      <c r="H18" s="40" t="str">
        <f>IF(C18&gt;$B$31,"Yes","No")</f>
        <v>Yes</v>
      </c>
      <c r="I18" s="36" t="str">
        <f t="shared" si="1"/>
        <v>Risky</v>
      </c>
      <c r="J18" s="70">
        <f t="shared" si="10"/>
        <v>0.64145566151485256</v>
      </c>
      <c r="K18" s="70">
        <f t="shared" si="2"/>
        <v>3.7374319908084201E-2</v>
      </c>
      <c r="L18" s="41">
        <f t="shared" si="5"/>
        <v>3.7374319908084201</v>
      </c>
      <c r="M18" s="41">
        <f t="shared" si="12"/>
        <v>0</v>
      </c>
      <c r="N18" s="46">
        <v>1</v>
      </c>
      <c r="O18" s="12">
        <f t="shared" si="7"/>
        <v>10</v>
      </c>
      <c r="P18" s="20">
        <f t="shared" si="8"/>
        <v>1.6666666666666666E-2</v>
      </c>
      <c r="Q18" s="55">
        <f t="shared" si="9"/>
        <v>1.6666666666666667</v>
      </c>
    </row>
    <row r="19" spans="1:17" x14ac:dyDescent="0.3">
      <c r="A19" s="28" t="s">
        <v>15</v>
      </c>
      <c r="B19" s="29" t="s">
        <v>19</v>
      </c>
      <c r="C19" s="30">
        <v>5.6599999999999998E-2</v>
      </c>
      <c r="D19" s="30">
        <v>1.9968113324867994E-4</v>
      </c>
      <c r="E19" s="30">
        <v>0.22387488569604824</v>
      </c>
      <c r="F19" s="35" t="str">
        <f t="shared" si="3"/>
        <v>NO</v>
      </c>
      <c r="G19" s="40" t="str">
        <f t="shared" si="0"/>
        <v>Underperform</v>
      </c>
      <c r="H19" s="40" t="str">
        <f>IF(C19&gt;$B$31,"Yes","No")</f>
        <v>No</v>
      </c>
      <c r="I19" s="36" t="str">
        <f t="shared" si="1"/>
        <v>Safe</v>
      </c>
      <c r="J19" s="70">
        <f t="shared" si="10"/>
        <v>0.9379590047133618</v>
      </c>
      <c r="K19" s="70">
        <f t="shared" si="2"/>
        <v>5.4650043652337069E-2</v>
      </c>
      <c r="L19" s="41">
        <f t="shared" si="5"/>
        <v>5.4650043652337068</v>
      </c>
      <c r="M19" s="41">
        <f t="shared" si="12"/>
        <v>0.82696423112198114</v>
      </c>
      <c r="N19" s="46">
        <v>4</v>
      </c>
      <c r="O19" s="12">
        <f t="shared" si="7"/>
        <v>40</v>
      </c>
      <c r="P19" s="20">
        <f t="shared" si="8"/>
        <v>6.6666666666666666E-2</v>
      </c>
      <c r="Q19" s="55">
        <f t="shared" si="9"/>
        <v>6.666666666666667</v>
      </c>
    </row>
    <row r="20" spans="1:17" x14ac:dyDescent="0.3">
      <c r="A20" s="28" t="s">
        <v>15</v>
      </c>
      <c r="B20" s="29" t="s">
        <v>20</v>
      </c>
      <c r="C20" s="30">
        <v>0.24990000000000001</v>
      </c>
      <c r="D20" s="30">
        <v>1.5166945004190273E-4</v>
      </c>
      <c r="E20" s="30">
        <v>0.19511286979724729</v>
      </c>
      <c r="F20" s="35" t="str">
        <f t="shared" si="3"/>
        <v>YES</v>
      </c>
      <c r="G20" s="40" t="str">
        <f t="shared" si="0"/>
        <v>Outperform</v>
      </c>
      <c r="H20" s="40" t="str">
        <f>IF(C20&gt;$B$31,"Yes","No")</f>
        <v>Yes</v>
      </c>
      <c r="I20" s="36" t="str">
        <f t="shared" si="1"/>
        <v>Safe</v>
      </c>
      <c r="J20" s="70">
        <f t="shared" si="10"/>
        <v>0.72607694837224601</v>
      </c>
      <c r="K20" s="70">
        <f t="shared" si="2"/>
        <v>4.230476675856968E-2</v>
      </c>
      <c r="L20" s="41">
        <f t="shared" si="5"/>
        <v>4.2304766758569681</v>
      </c>
      <c r="M20" s="41">
        <f t="shared" si="12"/>
        <v>0.23601345154387035</v>
      </c>
      <c r="N20" s="46">
        <v>2</v>
      </c>
      <c r="O20" s="12">
        <f t="shared" si="7"/>
        <v>20</v>
      </c>
      <c r="P20" s="20">
        <f t="shared" si="8"/>
        <v>3.3333333333333333E-2</v>
      </c>
      <c r="Q20" s="55">
        <f t="shared" si="9"/>
        <v>3.3333333333333335</v>
      </c>
    </row>
    <row r="21" spans="1:17" x14ac:dyDescent="0.3">
      <c r="A21" s="31" t="s">
        <v>21</v>
      </c>
      <c r="B21" s="32" t="s">
        <v>22</v>
      </c>
      <c r="C21" s="33">
        <v>-0.39579999999999999</v>
      </c>
      <c r="D21" s="33">
        <v>3.1078631150823861E-3</v>
      </c>
      <c r="E21" s="33">
        <v>0.88321777715673211</v>
      </c>
      <c r="F21" s="35" t="str">
        <f t="shared" si="3"/>
        <v>NO</v>
      </c>
      <c r="G21" s="42" t="str">
        <f t="shared" si="0"/>
        <v>Underperform</v>
      </c>
      <c r="H21" s="42" t="str">
        <f>IF(C21&gt;$B$32,"Yes","No")</f>
        <v>No</v>
      </c>
      <c r="I21" s="36" t="str">
        <f t="shared" si="1"/>
        <v>Risky</v>
      </c>
      <c r="J21" s="71">
        <f t="shared" si="10"/>
        <v>1.4338485147429574</v>
      </c>
      <c r="K21" s="71">
        <f t="shared" si="2"/>
        <v>8.3542973123316724E-2</v>
      </c>
      <c r="L21" s="43">
        <f t="shared" si="5"/>
        <v>8.3542973123316724</v>
      </c>
      <c r="M21" s="43">
        <f>$C$32-C21/$C$32</f>
        <v>1.3461485147429573</v>
      </c>
      <c r="N21" s="47">
        <v>5</v>
      </c>
      <c r="O21" s="12">
        <f t="shared" si="7"/>
        <v>50</v>
      </c>
      <c r="P21" s="20">
        <f t="shared" si="8"/>
        <v>8.3333333333333329E-2</v>
      </c>
      <c r="Q21" s="55">
        <f t="shared" si="9"/>
        <v>8.3333333333333321</v>
      </c>
    </row>
    <row r="22" spans="1:17" x14ac:dyDescent="0.3">
      <c r="A22" s="31" t="s">
        <v>21</v>
      </c>
      <c r="B22" s="32" t="s">
        <v>23</v>
      </c>
      <c r="C22" s="33">
        <v>0.1101</v>
      </c>
      <c r="D22" s="33">
        <v>1.6748061502574858E-4</v>
      </c>
      <c r="E22" s="33">
        <v>0.20503081322440997</v>
      </c>
      <c r="F22" s="35" t="str">
        <f t="shared" si="3"/>
        <v>NO</v>
      </c>
      <c r="G22" s="42" t="str">
        <f t="shared" si="0"/>
        <v>Outperform</v>
      </c>
      <c r="H22" s="42" t="str">
        <f>IF(C22&gt;$B$32,"Yes","No")</f>
        <v>No</v>
      </c>
      <c r="I22" s="36" t="str">
        <f t="shared" si="1"/>
        <v>Safe</v>
      </c>
      <c r="J22" s="71">
        <f t="shared" si="10"/>
        <v>0.87931601446892471</v>
      </c>
      <c r="K22" s="71">
        <f t="shared" si="2"/>
        <v>5.1233218438593894E-2</v>
      </c>
      <c r="L22" s="43">
        <f t="shared" si="5"/>
        <v>5.1233218438593893</v>
      </c>
      <c r="M22" s="43">
        <f t="shared" ref="M22:M25" si="13">$C$32-C22/$C$32</f>
        <v>0.79161601446892471</v>
      </c>
      <c r="N22" s="47">
        <v>3</v>
      </c>
      <c r="O22" s="12">
        <f t="shared" si="7"/>
        <v>30</v>
      </c>
      <c r="P22" s="20">
        <f t="shared" si="8"/>
        <v>0.05</v>
      </c>
      <c r="Q22" s="55">
        <f t="shared" si="9"/>
        <v>5</v>
      </c>
    </row>
    <row r="23" spans="1:17" x14ac:dyDescent="0.3">
      <c r="A23" s="31" t="s">
        <v>21</v>
      </c>
      <c r="B23" s="32" t="s">
        <v>24</v>
      </c>
      <c r="C23" s="33">
        <v>0.9123</v>
      </c>
      <c r="D23" s="33">
        <v>1.947896797347984E-3</v>
      </c>
      <c r="E23" s="33">
        <v>0.69922964477655258</v>
      </c>
      <c r="F23" s="35" t="str">
        <f t="shared" si="3"/>
        <v>YES</v>
      </c>
      <c r="G23" s="42" t="str">
        <f t="shared" si="0"/>
        <v>Outperform</v>
      </c>
      <c r="H23" s="42" t="str">
        <f>IF(C23&gt;$B$32,"Yes","No")</f>
        <v>Yes</v>
      </c>
      <c r="I23" s="36" t="str">
        <f t="shared" si="1"/>
        <v>Risky</v>
      </c>
      <c r="J23" s="71">
        <f t="shared" si="10"/>
        <v>0</v>
      </c>
      <c r="K23" s="71">
        <f t="shared" si="2"/>
        <v>0</v>
      </c>
      <c r="L23" s="43">
        <f t="shared" si="5"/>
        <v>0</v>
      </c>
      <c r="M23" s="43">
        <f t="shared" si="13"/>
        <v>-8.77E-2</v>
      </c>
      <c r="N23" s="47">
        <v>1</v>
      </c>
      <c r="O23" s="12">
        <f t="shared" si="7"/>
        <v>10</v>
      </c>
      <c r="P23" s="20">
        <f t="shared" si="8"/>
        <v>1.6666666666666666E-2</v>
      </c>
      <c r="Q23" s="55">
        <f t="shared" si="9"/>
        <v>1.6666666666666667</v>
      </c>
    </row>
    <row r="24" spans="1:17" x14ac:dyDescent="0.3">
      <c r="A24" s="31" t="s">
        <v>21</v>
      </c>
      <c r="B24" s="32" t="s">
        <v>25</v>
      </c>
      <c r="C24" s="33">
        <v>0.28589999999999999</v>
      </c>
      <c r="D24" s="33">
        <v>1.7284000829197892E-2</v>
      </c>
      <c r="E24" s="33">
        <v>2.0828548216639278</v>
      </c>
      <c r="F24" s="35" t="str">
        <f t="shared" si="3"/>
        <v>YES</v>
      </c>
      <c r="G24" s="42" t="str">
        <f t="shared" si="0"/>
        <v>Outperform</v>
      </c>
      <c r="H24" s="42" t="str">
        <f>IF(C24&gt;$B$32,"Yes","No")</f>
        <v>Yes</v>
      </c>
      <c r="I24" s="36" t="str">
        <f t="shared" si="1"/>
        <v>Risky</v>
      </c>
      <c r="J24" s="71">
        <f t="shared" si="10"/>
        <v>0.68661624465636306</v>
      </c>
      <c r="K24" s="71">
        <f t="shared" si="2"/>
        <v>4.0005594652125678E-2</v>
      </c>
      <c r="L24" s="43">
        <f t="shared" si="5"/>
        <v>4.000559465212568</v>
      </c>
      <c r="M24" s="43">
        <f t="shared" si="13"/>
        <v>0.59891624465636306</v>
      </c>
      <c r="N24" s="47">
        <v>2</v>
      </c>
      <c r="O24" s="12">
        <f t="shared" si="7"/>
        <v>20</v>
      </c>
      <c r="P24" s="20">
        <f t="shared" si="8"/>
        <v>3.3333333333333333E-2</v>
      </c>
      <c r="Q24" s="55">
        <f t="shared" si="9"/>
        <v>3.3333333333333335</v>
      </c>
    </row>
    <row r="25" spans="1:17" x14ac:dyDescent="0.3">
      <c r="A25" s="31" t="s">
        <v>21</v>
      </c>
      <c r="B25" s="32" t="s">
        <v>26</v>
      </c>
      <c r="C25" s="33">
        <v>-0.13780000000000001</v>
      </c>
      <c r="D25" s="33">
        <v>4.5174194473950133E-3</v>
      </c>
      <c r="E25" s="33">
        <v>1.0648343914882485</v>
      </c>
      <c r="F25" s="35" t="str">
        <f t="shared" si="3"/>
        <v>NO</v>
      </c>
      <c r="G25" s="42" t="str">
        <f t="shared" si="0"/>
        <v>Underperform</v>
      </c>
      <c r="H25" s="42" t="str">
        <f>IF(C25&gt;$B$32,"Yes","No")</f>
        <v>No</v>
      </c>
      <c r="I25" s="36" t="str">
        <f t="shared" si="1"/>
        <v>Risky</v>
      </c>
      <c r="J25" s="71">
        <f t="shared" si="10"/>
        <v>1.1510468047791298</v>
      </c>
      <c r="K25" s="71">
        <f t="shared" si="2"/>
        <v>6.7065573027134701E-2</v>
      </c>
      <c r="L25" s="43">
        <f t="shared" si="5"/>
        <v>6.7065573027134704</v>
      </c>
      <c r="M25" s="43">
        <f t="shared" si="13"/>
        <v>1.0633468047791297</v>
      </c>
      <c r="N25" s="47">
        <v>4</v>
      </c>
      <c r="O25" s="12">
        <f t="shared" si="7"/>
        <v>40</v>
      </c>
      <c r="P25" s="20">
        <f t="shared" si="8"/>
        <v>6.6666666666666666E-2</v>
      </c>
      <c r="Q25" s="55">
        <f t="shared" si="9"/>
        <v>6.666666666666667</v>
      </c>
    </row>
    <row r="26" spans="1:17" x14ac:dyDescent="0.3">
      <c r="B26" s="14"/>
      <c r="C26" s="11">
        <f>MAX(C6:C25)</f>
        <v>0.9123</v>
      </c>
      <c r="J26" s="55">
        <f>SUM(J6:J25)</f>
        <v>17.163005590266362</v>
      </c>
      <c r="K26" s="55">
        <f t="shared" si="2"/>
        <v>1</v>
      </c>
      <c r="L26" s="21">
        <f t="shared" si="5"/>
        <v>100</v>
      </c>
      <c r="M26" s="21"/>
      <c r="N26" s="21"/>
      <c r="O26">
        <f>SUM(O6:O25)</f>
        <v>600</v>
      </c>
    </row>
    <row r="27" spans="1:17" x14ac:dyDescent="0.3">
      <c r="A27" s="16" t="s">
        <v>36</v>
      </c>
      <c r="B27" s="15"/>
      <c r="C27" s="18"/>
      <c r="D27" s="18"/>
      <c r="E27" s="18"/>
      <c r="L27" s="20"/>
      <c r="M27" s="20"/>
      <c r="N27" s="20"/>
      <c r="O27" s="21"/>
    </row>
    <row r="28" spans="1:17" x14ac:dyDescent="0.3">
      <c r="A28" s="8" t="s">
        <v>43</v>
      </c>
      <c r="B28" s="48" t="s">
        <v>42</v>
      </c>
      <c r="C28" s="7" t="s">
        <v>44</v>
      </c>
    </row>
    <row r="29" spans="1:17" x14ac:dyDescent="0.3">
      <c r="A29" s="49" t="s">
        <v>9</v>
      </c>
      <c r="B29" s="7">
        <f>AVERAGE(C6:C10)</f>
        <v>8.5400000000000004E-2</v>
      </c>
      <c r="C29" s="7">
        <f>MAX(C6:C10)</f>
        <v>0.16669999999999999</v>
      </c>
    </row>
    <row r="30" spans="1:17" x14ac:dyDescent="0.3">
      <c r="A30" s="49" t="s">
        <v>34</v>
      </c>
      <c r="B30" s="50">
        <f>AVERAGE(C11:C15)</f>
        <v>0.13157800000000003</v>
      </c>
      <c r="C30" s="7">
        <f>MAX(C11:C15)</f>
        <v>0.24349999999999999</v>
      </c>
    </row>
    <row r="31" spans="1:17" x14ac:dyDescent="0.3">
      <c r="A31" s="49" t="s">
        <v>37</v>
      </c>
      <c r="B31" s="7">
        <f>AVERAGE(C16:C20)</f>
        <v>0.14572000000000002</v>
      </c>
      <c r="C31" s="7">
        <f>MAX(C16:C20)</f>
        <v>0.3271</v>
      </c>
    </row>
    <row r="32" spans="1:17" x14ac:dyDescent="0.3">
      <c r="A32" s="49" t="s">
        <v>21</v>
      </c>
      <c r="B32" s="7">
        <f>AVERAGE(C21:C25)</f>
        <v>0.15494000000000002</v>
      </c>
      <c r="C32" s="7">
        <f>MAX(C21:C25)</f>
        <v>0.9123</v>
      </c>
    </row>
  </sheetData>
  <mergeCells count="1"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38"/>
  <sheetViews>
    <sheetView workbookViewId="0">
      <selection activeCell="F5" sqref="F5:F20"/>
    </sheetView>
  </sheetViews>
  <sheetFormatPr defaultRowHeight="14.4" x14ac:dyDescent="0.3"/>
  <cols>
    <col min="1" max="1" width="16.33203125" style="12" bestFit="1" customWidth="1"/>
    <col min="2" max="2" width="11.6640625" style="12" bestFit="1" customWidth="1"/>
    <col min="3" max="3" width="21.5546875" style="53" bestFit="1" customWidth="1"/>
    <col min="4" max="4" width="17.88671875" style="12" bestFit="1" customWidth="1"/>
    <col min="5" max="5" width="8.88671875" style="12"/>
    <col min="6" max="6" width="11.5546875" style="55" bestFit="1" customWidth="1"/>
    <col min="7" max="7" width="11" style="12" bestFit="1" customWidth="1"/>
    <col min="8" max="16384" width="8.88671875" style="12"/>
  </cols>
  <sheetData>
    <row r="2" spans="1:9" x14ac:dyDescent="0.3">
      <c r="A2" s="52" t="s">
        <v>49</v>
      </c>
    </row>
    <row r="3" spans="1:9" x14ac:dyDescent="0.3">
      <c r="A3" s="12" t="s">
        <v>65</v>
      </c>
      <c r="B3" s="55">
        <f>MIN(F5:F20)</f>
        <v>1.67</v>
      </c>
      <c r="C3" s="53" t="str">
        <f>IF(B3=0,0,VLOOKUP(B3,$F$5:$I$20,4,FALSE))</f>
        <v>ADBE</v>
      </c>
    </row>
    <row r="4" spans="1:9" x14ac:dyDescent="0.3">
      <c r="A4" s="13" t="s">
        <v>32</v>
      </c>
      <c r="B4" s="13" t="s">
        <v>47</v>
      </c>
      <c r="C4" s="17" t="s">
        <v>29</v>
      </c>
      <c r="D4" s="8" t="s">
        <v>36</v>
      </c>
      <c r="E4" s="13" t="s">
        <v>45</v>
      </c>
      <c r="F4" s="56" t="s">
        <v>40</v>
      </c>
      <c r="G4" s="8" t="s">
        <v>41</v>
      </c>
    </row>
    <row r="5" spans="1:9" x14ac:dyDescent="0.3">
      <c r="A5" s="3" t="str">
        <f>IF(Analysis!F6="YES",Analysis!A6,"")</f>
        <v/>
      </c>
      <c r="B5" s="3" t="str">
        <f>IF(Analysis!F6="YES",Analysis!B6,"")</f>
        <v/>
      </c>
      <c r="C5" s="54" t="str">
        <f>IF(Analysis!F6="YES",ROUND(Analysis!C6,2),"")</f>
        <v/>
      </c>
      <c r="D5" s="3" t="str">
        <f>IF(Analysis!F6="YES",Analysis!H6,"")</f>
        <v/>
      </c>
      <c r="E5" s="3" t="str">
        <f>IF(Analysis!F6="YES",Analysis!I6,"")</f>
        <v/>
      </c>
      <c r="F5" s="57" t="str">
        <f>IF(Analysis!F6="YES",ROUND(Analysis!Q6,2),"")</f>
        <v/>
      </c>
      <c r="G5" s="3" t="str">
        <f>IF(Analysis!F6="YES",Analysis!N6,"")</f>
        <v/>
      </c>
      <c r="I5" s="12" t="str">
        <f>B5</f>
        <v/>
      </c>
    </row>
    <row r="6" spans="1:9" x14ac:dyDescent="0.3">
      <c r="A6" s="3" t="str">
        <f>IF(Analysis!F7="YES",Analysis!A7,"")</f>
        <v>Technology</v>
      </c>
      <c r="B6" s="3" t="str">
        <f>IF(Analysis!F7="YES",Analysis!B7,"")</f>
        <v>ADBE</v>
      </c>
      <c r="C6" s="54">
        <f>IF(Analysis!F7="YES",ROUND(Analysis!C7,2),"")</f>
        <v>0.17</v>
      </c>
      <c r="D6" s="3" t="str">
        <f>IF(Analysis!F7="YES",Analysis!H7,"")</f>
        <v>Yes</v>
      </c>
      <c r="E6" s="3" t="str">
        <f>IF(Analysis!F7="YES",Analysis!I7,"")</f>
        <v>Safe</v>
      </c>
      <c r="F6" s="57">
        <f>IF(Analysis!F7="YES",ROUND(Analysis!Q7,2),"")</f>
        <v>1.67</v>
      </c>
      <c r="G6" s="3">
        <f>IF(Analysis!F7="YES",Analysis!N7,"")</f>
        <v>1</v>
      </c>
      <c r="I6" s="12" t="str">
        <f t="shared" ref="I6:I20" si="0">B6</f>
        <v>ADBE</v>
      </c>
    </row>
    <row r="7" spans="1:9" x14ac:dyDescent="0.3">
      <c r="A7" s="3" t="str">
        <f>IF(Analysis!F8="YES",Analysis!A8,"")</f>
        <v/>
      </c>
      <c r="B7" s="3" t="str">
        <f>IF(Analysis!F8="YES",Analysis!B8,"")</f>
        <v/>
      </c>
      <c r="C7" s="54" t="str">
        <f>IF(Analysis!F8="YES",ROUND(Analysis!C8,2),"")</f>
        <v/>
      </c>
      <c r="D7" s="3" t="str">
        <f>IF(Analysis!F8="YES",Analysis!H8,"")</f>
        <v/>
      </c>
      <c r="E7" s="3" t="str">
        <f>IF(Analysis!F8="YES",Analysis!I8,"")</f>
        <v/>
      </c>
      <c r="F7" s="57" t="str">
        <f>IF(Analysis!F8="YES",ROUND(Analysis!Q8,2),"")</f>
        <v/>
      </c>
      <c r="G7" s="3" t="str">
        <f>IF(Analysis!F8="YES",Analysis!N8,"")</f>
        <v/>
      </c>
      <c r="I7" s="12" t="str">
        <f t="shared" si="0"/>
        <v/>
      </c>
    </row>
    <row r="8" spans="1:9" x14ac:dyDescent="0.3">
      <c r="A8" s="3" t="str">
        <f>IF(Analysis!F9="YES",Analysis!A9,"")</f>
        <v/>
      </c>
      <c r="B8" s="3" t="str">
        <f>IF(Analysis!F9="YES",Analysis!B9,"")</f>
        <v/>
      </c>
      <c r="C8" s="54" t="str">
        <f>IF(Analysis!F9="YES",ROUND(Analysis!C9,2),"")</f>
        <v/>
      </c>
      <c r="D8" s="3" t="str">
        <f>IF(Analysis!F9="YES",Analysis!H9,"")</f>
        <v/>
      </c>
      <c r="E8" s="3" t="str">
        <f>IF(Analysis!F9="YES",Analysis!I9,"")</f>
        <v/>
      </c>
      <c r="F8" s="57" t="str">
        <f>IF(Analysis!F9="YES",ROUND(Analysis!Q9,2),"")</f>
        <v/>
      </c>
      <c r="G8" s="3" t="str">
        <f>IF(Analysis!F9="YES",Analysis!N9,"")</f>
        <v/>
      </c>
      <c r="I8" s="12" t="str">
        <f t="shared" si="0"/>
        <v/>
      </c>
    </row>
    <row r="9" spans="1:9" x14ac:dyDescent="0.3">
      <c r="A9" s="3" t="str">
        <f>IF(Analysis!F10="YES",Analysis!A10,"")</f>
        <v/>
      </c>
      <c r="B9" s="3" t="str">
        <f>IF(Analysis!F10="YES",Analysis!B10,"")</f>
        <v/>
      </c>
      <c r="C9" s="54" t="str">
        <f>IF(Analysis!F10="YES",ROUND(Analysis!C10,2),"")</f>
        <v/>
      </c>
      <c r="D9" s="3" t="str">
        <f>IF(Analysis!F10="YES",Analysis!H10,"")</f>
        <v/>
      </c>
      <c r="E9" s="3" t="str">
        <f>IF(Analysis!F10="YES",Analysis!I10,"")</f>
        <v/>
      </c>
      <c r="F9" s="57" t="str">
        <f>IF(Analysis!F10="YES",ROUND(Analysis!Q10,2),"")</f>
        <v/>
      </c>
      <c r="G9" s="3" t="str">
        <f>IF(Analysis!F10="YES",Analysis!N10,"")</f>
        <v/>
      </c>
      <c r="I9" s="12" t="str">
        <f t="shared" si="0"/>
        <v/>
      </c>
    </row>
    <row r="10" spans="1:9" x14ac:dyDescent="0.3">
      <c r="A10" s="3" t="str">
        <f>IF(Analysis!F11="YES",Analysis!A11,"")</f>
        <v>Finance</v>
      </c>
      <c r="B10" s="3" t="str">
        <f>IF(Analysis!F11="YES",Analysis!B11,"")</f>
        <v>BAC</v>
      </c>
      <c r="C10" s="54">
        <f>IF(Analysis!F11="YES",ROUND(Analysis!C11,2),"")</f>
        <v>0.21</v>
      </c>
      <c r="D10" s="3" t="str">
        <f>IF(Analysis!F11="YES",Analysis!H11,"")</f>
        <v>Yes</v>
      </c>
      <c r="E10" s="3" t="str">
        <f>IF(Analysis!F11="YES",Analysis!I11,"")</f>
        <v>Risky</v>
      </c>
      <c r="F10" s="57">
        <f>IF(Analysis!F11="YES",ROUND(Analysis!Q11,2),"")</f>
        <v>8.33</v>
      </c>
      <c r="G10" s="3">
        <f>IF(Analysis!F11="YES",Analysis!N11,"")</f>
        <v>5</v>
      </c>
      <c r="I10" s="12" t="str">
        <f t="shared" si="0"/>
        <v>BAC</v>
      </c>
    </row>
    <row r="11" spans="1:9" x14ac:dyDescent="0.3">
      <c r="A11" s="3" t="str">
        <f>IF(Analysis!F12="YES",Analysis!A12,"")</f>
        <v/>
      </c>
      <c r="B11" s="3" t="str">
        <f>IF(Analysis!F12="YES",Analysis!B12,"")</f>
        <v/>
      </c>
      <c r="C11" s="54" t="str">
        <f>IF(Analysis!F12="YES",ROUND(Analysis!C12,2),"")</f>
        <v/>
      </c>
      <c r="D11" s="3" t="str">
        <f>IF(Analysis!F12="YES",Analysis!H12,"")</f>
        <v/>
      </c>
      <c r="E11" s="3" t="str">
        <f>IF(Analysis!F12="YES",Analysis!I12,"")</f>
        <v/>
      </c>
      <c r="F11" s="57" t="str">
        <f>IF(Analysis!F12="YES",ROUND(Analysis!Q12,2),"")</f>
        <v/>
      </c>
      <c r="G11" s="3" t="str">
        <f>IF(Analysis!F12="YES",Analysis!N12,"")</f>
        <v/>
      </c>
      <c r="I11" s="12" t="str">
        <f t="shared" si="0"/>
        <v/>
      </c>
    </row>
    <row r="12" spans="1:9" x14ac:dyDescent="0.3">
      <c r="A12" s="3" t="str">
        <f>IF(Analysis!F13="YES",Analysis!A13,"")</f>
        <v/>
      </c>
      <c r="B12" s="3" t="str">
        <f>IF(Analysis!F13="YES",Analysis!B13,"")</f>
        <v/>
      </c>
      <c r="C12" s="54" t="str">
        <f>IF(Analysis!F13="YES",ROUND(Analysis!C13,2),"")</f>
        <v/>
      </c>
      <c r="D12" s="3" t="str">
        <f>IF(Analysis!F13="YES",Analysis!H13,"")</f>
        <v/>
      </c>
      <c r="E12" s="3" t="str">
        <f>IF(Analysis!F13="YES",Analysis!I13,"")</f>
        <v/>
      </c>
      <c r="F12" s="57" t="str">
        <f>IF(Analysis!F13="YES",ROUND(Analysis!Q13,2),"")</f>
        <v/>
      </c>
      <c r="G12" s="3" t="str">
        <f>IF(Analysis!F13="YES",Analysis!N13,"")</f>
        <v/>
      </c>
      <c r="I12" s="12" t="str">
        <f t="shared" si="0"/>
        <v/>
      </c>
    </row>
    <row r="13" spans="1:9" x14ac:dyDescent="0.3">
      <c r="A13" s="3" t="str">
        <f>IF(Analysis!F14="YES",Analysis!A14,"")</f>
        <v>Finance</v>
      </c>
      <c r="B13" s="3" t="str">
        <f>IF(Analysis!F14="YES",Analysis!B14,"")</f>
        <v>JPMorgan</v>
      </c>
      <c r="C13" s="54">
        <f>IF(Analysis!F14="YES",ROUND(Analysis!C14,2),"")</f>
        <v>0.24</v>
      </c>
      <c r="D13" s="3" t="str">
        <f>IF(Analysis!F14="YES",Analysis!H14,"")</f>
        <v>Yes</v>
      </c>
      <c r="E13" s="3" t="str">
        <f>IF(Analysis!F14="YES",Analysis!I14,"")</f>
        <v>Safe</v>
      </c>
      <c r="F13" s="57">
        <f>IF(Analysis!F14="YES",ROUND(Analysis!Q14,2),"")</f>
        <v>1.67</v>
      </c>
      <c r="G13" s="3">
        <f>IF(Analysis!F14="YES",Analysis!N14,"")</f>
        <v>1</v>
      </c>
      <c r="I13" s="12" t="str">
        <f t="shared" si="0"/>
        <v>JPMorgan</v>
      </c>
    </row>
    <row r="14" spans="1:9" x14ac:dyDescent="0.3">
      <c r="A14" s="3" t="str">
        <f>IF(Analysis!F15="YES",Analysis!A15,"")</f>
        <v/>
      </c>
      <c r="B14" s="3" t="str">
        <f>IF(Analysis!F15="YES",Analysis!B15,"")</f>
        <v/>
      </c>
      <c r="C14" s="54" t="str">
        <f>IF(Analysis!F15="YES",ROUND(Analysis!C15,2),"")</f>
        <v/>
      </c>
      <c r="D14" s="3" t="str">
        <f>IF(Analysis!F15="YES",Analysis!H15,"")</f>
        <v/>
      </c>
      <c r="E14" s="3" t="str">
        <f>IF(Analysis!F15="YES",Analysis!I15,"")</f>
        <v/>
      </c>
      <c r="F14" s="57" t="str">
        <f>IF(Analysis!F15="YES",ROUND(Analysis!Q15,2),"")</f>
        <v/>
      </c>
      <c r="G14" s="3" t="str">
        <f>IF(Analysis!F15="YES",Analysis!N15,"")</f>
        <v/>
      </c>
      <c r="I14" s="12" t="str">
        <f t="shared" si="0"/>
        <v/>
      </c>
    </row>
    <row r="15" spans="1:9" x14ac:dyDescent="0.3">
      <c r="A15" s="3" t="str">
        <f>IF(Analysis!F16="YES",Analysis!A16,"")</f>
        <v/>
      </c>
      <c r="B15" s="3" t="str">
        <f>IF(Analysis!F16="YES",Analysis!B16,"")</f>
        <v/>
      </c>
      <c r="C15" s="54" t="str">
        <f>IF(Analysis!F16="YES",ROUND(Analysis!C16,2),"")</f>
        <v/>
      </c>
      <c r="D15" s="3" t="str">
        <f>IF(Analysis!F16="YES",Analysis!H16,"")</f>
        <v/>
      </c>
      <c r="E15" s="3" t="str">
        <f>IF(Analysis!F16="YES",Analysis!I16,"")</f>
        <v/>
      </c>
      <c r="F15" s="57" t="str">
        <f>IF(Analysis!F16="YES",ROUND(Analysis!Q16,2),"")</f>
        <v/>
      </c>
      <c r="G15" s="3" t="str">
        <f>IF(Analysis!F16="YES",Analysis!N16,"")</f>
        <v/>
      </c>
      <c r="I15" s="12" t="str">
        <f t="shared" si="0"/>
        <v/>
      </c>
    </row>
    <row r="16" spans="1:9" x14ac:dyDescent="0.3">
      <c r="A16" s="3" t="str">
        <f>IF(Analysis!F17="YES",Analysis!A17,"")</f>
        <v/>
      </c>
      <c r="B16" s="3" t="str">
        <f>IF(Analysis!F17="YES",Analysis!B17,"")</f>
        <v/>
      </c>
      <c r="C16" s="54" t="str">
        <f>IF(Analysis!F17="YES",ROUND(Analysis!C17,2),"")</f>
        <v/>
      </c>
      <c r="D16" s="3" t="str">
        <f>IF(Analysis!F17="YES",Analysis!H17,"")</f>
        <v/>
      </c>
      <c r="E16" s="3" t="str">
        <f>IF(Analysis!F17="YES",Analysis!I17,"")</f>
        <v/>
      </c>
      <c r="F16" s="57" t="str">
        <f>IF(Analysis!F17="YES",ROUND(Analysis!Q17,2),"")</f>
        <v/>
      </c>
      <c r="G16" s="3" t="str">
        <f>IF(Analysis!F17="YES",Analysis!N17,"")</f>
        <v/>
      </c>
      <c r="I16" s="12" t="str">
        <f t="shared" si="0"/>
        <v/>
      </c>
    </row>
    <row r="17" spans="1:9" x14ac:dyDescent="0.3">
      <c r="A17" s="3" t="str">
        <f>IF(Analysis!F18="YES",Analysis!A18,"")</f>
        <v>Consumer Services</v>
      </c>
      <c r="B17" s="3" t="str">
        <f>IF(Analysis!F18="YES",Analysis!B18,"")</f>
        <v>JCP</v>
      </c>
      <c r="C17" s="54">
        <f>IF(Analysis!F18="YES",ROUND(Analysis!C18,2),"")</f>
        <v>0.33</v>
      </c>
      <c r="D17" s="3" t="str">
        <f>IF(Analysis!F18="YES",Analysis!H18,"")</f>
        <v>Yes</v>
      </c>
      <c r="E17" s="3" t="str">
        <f>IF(Analysis!F18="YES",Analysis!I18,"")</f>
        <v>Risky</v>
      </c>
      <c r="F17" s="57">
        <f>IF(Analysis!F18="YES",ROUND(Analysis!Q18,2),"")</f>
        <v>1.67</v>
      </c>
      <c r="G17" s="3">
        <f>IF(Analysis!F18="YES",Analysis!N18,"")</f>
        <v>1</v>
      </c>
      <c r="I17" s="12" t="str">
        <f t="shared" si="0"/>
        <v>JCP</v>
      </c>
    </row>
    <row r="18" spans="1:9" x14ac:dyDescent="0.3">
      <c r="A18" s="3" t="str">
        <f>IF(Analysis!F19="YES",Analysis!A19,"")</f>
        <v/>
      </c>
      <c r="B18" s="3" t="str">
        <f>IF(Analysis!F19="YES",Analysis!B19,"")</f>
        <v/>
      </c>
      <c r="C18" s="54" t="str">
        <f>IF(Analysis!F19="YES",ROUND(Analysis!C19,2),"")</f>
        <v/>
      </c>
      <c r="D18" s="3" t="str">
        <f>IF(Analysis!F19="YES",Analysis!H19,"")</f>
        <v/>
      </c>
      <c r="E18" s="3" t="str">
        <f>IF(Analysis!F19="YES",Analysis!I19,"")</f>
        <v/>
      </c>
      <c r="F18" s="57" t="str">
        <f>IF(Analysis!F19="YES",ROUND(Analysis!Q19,2),"")</f>
        <v/>
      </c>
      <c r="G18" s="3" t="str">
        <f>IF(Analysis!F19="YES",Analysis!N19,"")</f>
        <v/>
      </c>
      <c r="I18" s="12" t="str">
        <f t="shared" si="0"/>
        <v/>
      </c>
    </row>
    <row r="19" spans="1:9" x14ac:dyDescent="0.3">
      <c r="A19" s="3" t="str">
        <f>IF(Analysis!F20="YES",Analysis!A20,"")</f>
        <v>Consumer Services</v>
      </c>
      <c r="B19" s="3" t="str">
        <f>IF(Analysis!F20="YES",Analysis!B20,"")</f>
        <v>WMT</v>
      </c>
      <c r="C19" s="54">
        <f>IF(Analysis!F20="YES",ROUND(Analysis!C20,2),"")</f>
        <v>0.25</v>
      </c>
      <c r="D19" s="3" t="str">
        <f>IF(Analysis!F20="YES",Analysis!H20,"")</f>
        <v>Yes</v>
      </c>
      <c r="E19" s="3" t="str">
        <f>IF(Analysis!F20="YES",Analysis!I20,"")</f>
        <v>Safe</v>
      </c>
      <c r="F19" s="57">
        <f>IF(Analysis!F20="YES",ROUND(Analysis!Q20,2),"")</f>
        <v>3.33</v>
      </c>
      <c r="G19" s="3">
        <f>IF(Analysis!F20="YES",Analysis!N20,"")</f>
        <v>2</v>
      </c>
      <c r="I19" s="12" t="str">
        <f t="shared" si="0"/>
        <v>WMT</v>
      </c>
    </row>
    <row r="20" spans="1:9" x14ac:dyDescent="0.3">
      <c r="A20" s="3" t="str">
        <f>IF(Analysis!F21="YES",Analysis!A21,"")</f>
        <v/>
      </c>
      <c r="B20" s="3" t="str">
        <f>IF(Analysis!F21="YES",Analysis!B21,"")</f>
        <v/>
      </c>
      <c r="C20" s="54" t="str">
        <f>IF(Analysis!F21="YES",ROUND(Analysis!C21,2),"")</f>
        <v/>
      </c>
      <c r="D20" s="3" t="str">
        <f>IF(Analysis!F21="YES",Analysis!H21,"")</f>
        <v/>
      </c>
      <c r="E20" s="3" t="str">
        <f>IF(Analysis!F21="YES",Analysis!I21,"")</f>
        <v/>
      </c>
      <c r="F20" s="57" t="str">
        <f>IF(Analysis!F21="YES",ROUND(Analysis!Q21,2),"")</f>
        <v/>
      </c>
      <c r="G20" s="3" t="str">
        <f>IF(Analysis!F21="YES",Analysis!N21,"")</f>
        <v/>
      </c>
      <c r="I20" s="12" t="str">
        <f t="shared" si="0"/>
        <v/>
      </c>
    </row>
    <row r="22" spans="1:9" x14ac:dyDescent="0.3">
      <c r="A22" s="58"/>
      <c r="B22" s="58"/>
      <c r="C22" s="59"/>
      <c r="D22" s="16"/>
      <c r="E22" s="58"/>
      <c r="F22" s="60"/>
      <c r="G22" s="16"/>
    </row>
    <row r="23" spans="1:9" x14ac:dyDescent="0.3">
      <c r="A23" s="15"/>
      <c r="B23" s="15"/>
      <c r="C23" s="61"/>
      <c r="D23" s="15"/>
      <c r="E23" s="15"/>
      <c r="F23" s="62"/>
      <c r="G23" s="15"/>
    </row>
    <row r="24" spans="1:9" x14ac:dyDescent="0.3">
      <c r="A24" s="15"/>
      <c r="B24" s="15"/>
      <c r="C24" s="61"/>
      <c r="D24" s="15"/>
      <c r="E24" s="15"/>
      <c r="F24" s="62"/>
      <c r="G24" s="15"/>
    </row>
    <row r="25" spans="1:9" x14ac:dyDescent="0.3">
      <c r="A25" s="15"/>
      <c r="B25" s="15"/>
      <c r="C25" s="61"/>
      <c r="D25" s="15"/>
      <c r="E25" s="15"/>
      <c r="F25" s="62"/>
      <c r="G25" s="15"/>
    </row>
    <row r="26" spans="1:9" x14ac:dyDescent="0.3">
      <c r="A26" s="15"/>
      <c r="B26" s="15"/>
      <c r="C26" s="61"/>
      <c r="D26" s="15"/>
      <c r="E26" s="15"/>
      <c r="F26" s="62"/>
      <c r="G26" s="15"/>
    </row>
    <row r="27" spans="1:9" x14ac:dyDescent="0.3">
      <c r="A27" s="15"/>
      <c r="B27" s="15"/>
      <c r="C27" s="61"/>
      <c r="D27" s="15"/>
      <c r="E27" s="15"/>
      <c r="F27" s="62"/>
      <c r="G27" s="15"/>
    </row>
    <row r="28" spans="1:9" x14ac:dyDescent="0.3">
      <c r="A28" s="15"/>
      <c r="B28" s="15"/>
      <c r="C28" s="61"/>
      <c r="D28" s="15"/>
      <c r="E28" s="15"/>
      <c r="F28" s="62"/>
      <c r="G28" s="15"/>
    </row>
    <row r="29" spans="1:9" x14ac:dyDescent="0.3">
      <c r="A29" s="15"/>
      <c r="B29" s="15"/>
      <c r="C29" s="61"/>
      <c r="D29" s="15"/>
      <c r="E29" s="15"/>
      <c r="F29" s="62"/>
      <c r="G29" s="15"/>
    </row>
    <row r="30" spans="1:9" x14ac:dyDescent="0.3">
      <c r="A30" s="15"/>
      <c r="B30" s="15"/>
      <c r="C30" s="61"/>
      <c r="D30" s="15"/>
      <c r="E30" s="15"/>
      <c r="F30" s="62"/>
      <c r="G30" s="15"/>
    </row>
    <row r="31" spans="1:9" x14ac:dyDescent="0.3">
      <c r="A31" s="15"/>
      <c r="B31" s="15"/>
      <c r="C31" s="61"/>
      <c r="D31" s="15"/>
      <c r="E31" s="15"/>
      <c r="F31" s="62"/>
      <c r="G31" s="15"/>
    </row>
    <row r="32" spans="1:9" x14ac:dyDescent="0.3">
      <c r="A32" s="15"/>
      <c r="B32" s="15"/>
      <c r="C32" s="61"/>
      <c r="D32" s="15"/>
      <c r="E32" s="15"/>
      <c r="F32" s="62"/>
      <c r="G32" s="15"/>
    </row>
    <row r="33" spans="1:7" x14ac:dyDescent="0.3">
      <c r="A33" s="15"/>
      <c r="B33" s="15"/>
      <c r="C33" s="61"/>
      <c r="D33" s="15"/>
      <c r="E33" s="15"/>
      <c r="F33" s="62"/>
      <c r="G33" s="15"/>
    </row>
    <row r="34" spans="1:7" x14ac:dyDescent="0.3">
      <c r="A34" s="15"/>
      <c r="B34" s="15"/>
      <c r="C34" s="61"/>
      <c r="D34" s="15"/>
      <c r="E34" s="15"/>
      <c r="F34" s="62"/>
      <c r="G34" s="15"/>
    </row>
    <row r="35" spans="1:7" x14ac:dyDescent="0.3">
      <c r="A35" s="15"/>
      <c r="B35" s="15"/>
      <c r="C35" s="61"/>
      <c r="D35" s="15"/>
      <c r="E35" s="15"/>
      <c r="F35" s="62"/>
      <c r="G35" s="15"/>
    </row>
    <row r="36" spans="1:7" x14ac:dyDescent="0.3">
      <c r="A36" s="15"/>
      <c r="B36" s="15"/>
      <c r="C36" s="61"/>
      <c r="D36" s="15"/>
      <c r="E36" s="15"/>
      <c r="F36" s="62"/>
      <c r="G36" s="15"/>
    </row>
    <row r="37" spans="1:7" x14ac:dyDescent="0.3">
      <c r="A37" s="15"/>
      <c r="B37" s="15"/>
      <c r="C37" s="61"/>
      <c r="D37" s="15"/>
      <c r="E37" s="15"/>
      <c r="F37" s="62"/>
      <c r="G37" s="15"/>
    </row>
    <row r="38" spans="1:7" x14ac:dyDescent="0.3">
      <c r="A38" s="15"/>
      <c r="B38" s="15"/>
      <c r="C38" s="61"/>
      <c r="D38" s="15"/>
      <c r="E38" s="15"/>
      <c r="F38" s="62"/>
      <c r="G38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H27"/>
  <sheetViews>
    <sheetView topLeftCell="A7" workbookViewId="0">
      <selection activeCell="D35" sqref="D35"/>
    </sheetView>
  </sheetViews>
  <sheetFormatPr defaultRowHeight="14.4" x14ac:dyDescent="0.3"/>
  <cols>
    <col min="1" max="1" width="16.88671875" bestFit="1" customWidth="1"/>
    <col min="2" max="2" width="11.33203125" bestFit="1" customWidth="1"/>
    <col min="3" max="3" width="12.44140625" bestFit="1" customWidth="1"/>
    <col min="6" max="6" width="12.109375" bestFit="1" customWidth="1"/>
    <col min="7" max="7" width="12" bestFit="1" customWidth="1"/>
    <col min="10" max="10" width="18.88671875" bestFit="1" customWidth="1"/>
    <col min="12" max="12" width="12.44140625" bestFit="1" customWidth="1"/>
  </cols>
  <sheetData>
    <row r="2" spans="1:34" x14ac:dyDescent="0.3">
      <c r="A2" s="52" t="s">
        <v>50</v>
      </c>
    </row>
    <row r="4" spans="1:34" x14ac:dyDescent="0.3">
      <c r="A4" s="3" t="s">
        <v>32</v>
      </c>
      <c r="B4" s="3" t="s">
        <v>47</v>
      </c>
      <c r="C4" s="3" t="s">
        <v>51</v>
      </c>
      <c r="D4" s="3" t="s">
        <v>52</v>
      </c>
      <c r="E4" s="3" t="s">
        <v>53</v>
      </c>
      <c r="F4" s="3" t="s">
        <v>54</v>
      </c>
      <c r="G4" s="3" t="s">
        <v>55</v>
      </c>
      <c r="J4" s="13" t="s">
        <v>32</v>
      </c>
      <c r="K4" s="24" t="s">
        <v>9</v>
      </c>
      <c r="L4" s="24" t="s">
        <v>9</v>
      </c>
      <c r="M4" s="24" t="s">
        <v>9</v>
      </c>
      <c r="N4" s="24" t="s">
        <v>9</v>
      </c>
      <c r="O4" s="24" t="s">
        <v>9</v>
      </c>
      <c r="P4" s="25" t="s">
        <v>34</v>
      </c>
      <c r="Q4" s="25" t="s">
        <v>34</v>
      </c>
      <c r="R4" s="25" t="s">
        <v>34</v>
      </c>
      <c r="S4" s="25" t="s">
        <v>34</v>
      </c>
      <c r="T4" s="25" t="s">
        <v>34</v>
      </c>
      <c r="U4" s="28" t="s">
        <v>15</v>
      </c>
      <c r="V4" s="28" t="s">
        <v>15</v>
      </c>
      <c r="W4" s="28" t="s">
        <v>15</v>
      </c>
      <c r="X4" s="28" t="s">
        <v>15</v>
      </c>
      <c r="Y4" s="28" t="s">
        <v>15</v>
      </c>
      <c r="Z4" s="31" t="s">
        <v>21</v>
      </c>
      <c r="AA4" s="31" t="s">
        <v>21</v>
      </c>
      <c r="AB4" s="31" t="s">
        <v>21</v>
      </c>
      <c r="AC4" s="31" t="s">
        <v>21</v>
      </c>
      <c r="AD4" s="31" t="s">
        <v>21</v>
      </c>
      <c r="AF4" s="22" t="s">
        <v>4</v>
      </c>
      <c r="AG4" s="16">
        <v>1</v>
      </c>
      <c r="AH4" s="72"/>
    </row>
    <row r="5" spans="1:34" x14ac:dyDescent="0.3">
      <c r="A5" s="24" t="s">
        <v>9</v>
      </c>
      <c r="B5" s="22" t="s">
        <v>4</v>
      </c>
      <c r="C5" s="36">
        <v>13.45</v>
      </c>
      <c r="D5" s="36">
        <v>110.51</v>
      </c>
      <c r="E5" s="36">
        <v>8.31</v>
      </c>
      <c r="F5" s="36">
        <v>89.47</v>
      </c>
      <c r="G5" s="36">
        <v>119.86</v>
      </c>
      <c r="J5" s="13" t="s">
        <v>47</v>
      </c>
      <c r="K5" s="22" t="s">
        <v>4</v>
      </c>
      <c r="L5" s="22" t="s">
        <v>5</v>
      </c>
      <c r="M5" s="22" t="s">
        <v>6</v>
      </c>
      <c r="N5" s="22" t="s">
        <v>7</v>
      </c>
      <c r="O5" s="22" t="s">
        <v>8</v>
      </c>
      <c r="P5" s="26" t="s">
        <v>10</v>
      </c>
      <c r="Q5" s="26" t="s">
        <v>11</v>
      </c>
      <c r="R5" s="26" t="s">
        <v>12</v>
      </c>
      <c r="S5" s="26" t="s">
        <v>13</v>
      </c>
      <c r="T5" s="26" t="s">
        <v>14</v>
      </c>
      <c r="U5" s="29" t="s">
        <v>16</v>
      </c>
      <c r="V5" s="29" t="s">
        <v>17</v>
      </c>
      <c r="W5" s="29" t="s">
        <v>18</v>
      </c>
      <c r="X5" s="29" t="s">
        <v>19</v>
      </c>
      <c r="Y5" s="29" t="s">
        <v>20</v>
      </c>
      <c r="Z5" s="32" t="s">
        <v>22</v>
      </c>
      <c r="AA5" s="32" t="s">
        <v>23</v>
      </c>
      <c r="AB5" s="32" t="s">
        <v>24</v>
      </c>
      <c r="AC5" s="32" t="s">
        <v>25</v>
      </c>
      <c r="AD5" s="32" t="s">
        <v>26</v>
      </c>
      <c r="AF5" s="22" t="s">
        <v>5</v>
      </c>
      <c r="AG5">
        <v>2</v>
      </c>
    </row>
    <row r="6" spans="1:34" x14ac:dyDescent="0.3">
      <c r="A6" s="24" t="s">
        <v>9</v>
      </c>
      <c r="B6" s="22" t="s">
        <v>5</v>
      </c>
      <c r="C6" s="36">
        <v>53.68</v>
      </c>
      <c r="D6" s="36">
        <v>104.17</v>
      </c>
      <c r="E6" s="36">
        <v>1.96</v>
      </c>
      <c r="F6" s="36">
        <v>71.27</v>
      </c>
      <c r="G6" s="36">
        <v>111.09</v>
      </c>
      <c r="J6" s="13" t="s">
        <v>51</v>
      </c>
      <c r="K6" s="36">
        <v>13.45</v>
      </c>
      <c r="L6" s="36">
        <v>53.68</v>
      </c>
      <c r="M6" s="36">
        <v>29.27</v>
      </c>
      <c r="N6" s="36">
        <v>19.05</v>
      </c>
      <c r="O6" s="36">
        <v>27.34</v>
      </c>
      <c r="P6" s="38">
        <v>14.85</v>
      </c>
      <c r="Q6" s="38">
        <v>12.2</v>
      </c>
      <c r="R6" s="38">
        <v>15.02</v>
      </c>
      <c r="S6" s="38">
        <v>13.55</v>
      </c>
      <c r="T6" s="38">
        <v>12.96</v>
      </c>
      <c r="U6" s="40">
        <v>28.64</v>
      </c>
      <c r="V6" s="40">
        <v>22.17</v>
      </c>
      <c r="W6" s="40">
        <v>-8.0399999999999991</v>
      </c>
      <c r="X6" s="40">
        <v>14.41</v>
      </c>
      <c r="Y6" s="40">
        <v>15.1</v>
      </c>
      <c r="Z6" s="32">
        <v>-5.56</v>
      </c>
      <c r="AA6" s="32">
        <v>40.58</v>
      </c>
      <c r="AB6" s="32">
        <v>-5.21</v>
      </c>
      <c r="AC6" s="32">
        <v>-0.06</v>
      </c>
      <c r="AD6" s="32">
        <v>-1.83</v>
      </c>
      <c r="AF6" s="22" t="s">
        <v>6</v>
      </c>
      <c r="AG6" s="73">
        <v>3</v>
      </c>
    </row>
    <row r="7" spans="1:34" x14ac:dyDescent="0.3">
      <c r="A7" s="24" t="s">
        <v>9</v>
      </c>
      <c r="B7" s="22" t="s">
        <v>6</v>
      </c>
      <c r="C7" s="36">
        <v>29.27</v>
      </c>
      <c r="D7" s="36">
        <v>60.34</v>
      </c>
      <c r="E7" s="36">
        <v>29.27</v>
      </c>
      <c r="F7" s="36">
        <v>48.04</v>
      </c>
      <c r="G7" s="36">
        <v>61.37</v>
      </c>
      <c r="J7" s="13" t="s">
        <v>52</v>
      </c>
      <c r="K7" s="36">
        <v>110.51</v>
      </c>
      <c r="L7" s="36">
        <v>104.17</v>
      </c>
      <c r="M7" s="36">
        <v>60.34</v>
      </c>
      <c r="N7" s="36">
        <v>39.85</v>
      </c>
      <c r="O7" s="36">
        <v>84.01</v>
      </c>
      <c r="P7" s="38">
        <v>20.12</v>
      </c>
      <c r="Q7" s="38">
        <v>56.35</v>
      </c>
      <c r="R7" s="38">
        <v>7.72</v>
      </c>
      <c r="S7" s="38">
        <v>78.53</v>
      </c>
      <c r="T7" s="38">
        <v>52.1</v>
      </c>
      <c r="U7" s="40">
        <v>152.66999999999999</v>
      </c>
      <c r="V7" s="40">
        <v>130.97999999999999</v>
      </c>
      <c r="W7" s="40">
        <v>9.7200000000000006</v>
      </c>
      <c r="X7" s="40">
        <v>77.87</v>
      </c>
      <c r="Y7" s="40">
        <v>70.12</v>
      </c>
      <c r="Z7" s="32">
        <v>14.96</v>
      </c>
      <c r="AA7" s="32">
        <v>86.68</v>
      </c>
      <c r="AB7" s="32">
        <v>10.48</v>
      </c>
      <c r="AC7" s="32">
        <v>0.27</v>
      </c>
      <c r="AD7" s="32">
        <v>10.3</v>
      </c>
      <c r="AF7" s="22" t="s">
        <v>7</v>
      </c>
      <c r="AG7" s="73">
        <v>4</v>
      </c>
    </row>
    <row r="8" spans="1:34" x14ac:dyDescent="0.3">
      <c r="A8" s="24" t="s">
        <v>9</v>
      </c>
      <c r="B8" s="22" t="s">
        <v>7</v>
      </c>
      <c r="C8" s="36">
        <v>19.05</v>
      </c>
      <c r="D8" s="36">
        <v>39.85</v>
      </c>
      <c r="E8" s="36">
        <v>2.11</v>
      </c>
      <c r="F8" s="36">
        <v>33.130000000000003</v>
      </c>
      <c r="G8" s="36">
        <v>42</v>
      </c>
      <c r="J8" s="13" t="s">
        <v>53</v>
      </c>
      <c r="K8" s="36">
        <v>8.31</v>
      </c>
      <c r="L8" s="36">
        <v>1.96</v>
      </c>
      <c r="M8" s="36">
        <v>29.27</v>
      </c>
      <c r="N8" s="36">
        <v>2.11</v>
      </c>
      <c r="O8" s="36">
        <v>3.12</v>
      </c>
      <c r="P8" s="38">
        <v>1.37</v>
      </c>
      <c r="Q8" s="38">
        <v>4.5999999999999996</v>
      </c>
      <c r="R8" s="38">
        <v>17.41</v>
      </c>
      <c r="S8" s="38">
        <v>5.8</v>
      </c>
      <c r="T8" s="38">
        <v>4.03</v>
      </c>
      <c r="U8" s="40">
        <v>5.33</v>
      </c>
      <c r="V8" s="40">
        <v>5.91</v>
      </c>
      <c r="W8" s="40">
        <v>-1.21</v>
      </c>
      <c r="X8" s="40">
        <v>5.4</v>
      </c>
      <c r="Y8" s="40">
        <v>15.1</v>
      </c>
      <c r="Z8" s="32">
        <v>-2.69</v>
      </c>
      <c r="AA8" s="32">
        <v>2.14</v>
      </c>
      <c r="AB8" s="32">
        <v>-2.0099999999999998</v>
      </c>
      <c r="AC8" s="32">
        <v>-4.29</v>
      </c>
      <c r="AD8" s="32">
        <v>-5.33</v>
      </c>
      <c r="AF8" s="22" t="s">
        <v>8</v>
      </c>
      <c r="AG8" s="73">
        <v>5</v>
      </c>
    </row>
    <row r="9" spans="1:34" x14ac:dyDescent="0.3">
      <c r="A9" s="24" t="s">
        <v>9</v>
      </c>
      <c r="B9" s="22" t="s">
        <v>8</v>
      </c>
      <c r="C9" s="36">
        <v>27.34</v>
      </c>
      <c r="D9" s="36">
        <v>84.01</v>
      </c>
      <c r="E9" s="36">
        <v>3.12</v>
      </c>
      <c r="F9" s="36">
        <v>71.39</v>
      </c>
      <c r="G9" s="36">
        <v>92.16</v>
      </c>
      <c r="J9" s="13" t="s">
        <v>54</v>
      </c>
      <c r="K9" s="36">
        <v>89.47</v>
      </c>
      <c r="L9" s="36">
        <v>71.27</v>
      </c>
      <c r="M9" s="36">
        <v>48.04</v>
      </c>
      <c r="N9" s="36">
        <v>33.130000000000003</v>
      </c>
      <c r="O9" s="36">
        <v>71.39</v>
      </c>
      <c r="P9" s="38">
        <v>10.99</v>
      </c>
      <c r="Q9" s="38">
        <v>55.43</v>
      </c>
      <c r="R9" s="38">
        <v>180.75</v>
      </c>
      <c r="S9" s="38">
        <v>52.5</v>
      </c>
      <c r="T9" s="38">
        <v>43.55</v>
      </c>
      <c r="U9" s="40">
        <v>138.57</v>
      </c>
      <c r="V9" s="40">
        <v>109.62</v>
      </c>
      <c r="W9" s="40">
        <v>6</v>
      </c>
      <c r="X9" s="40">
        <v>65.5</v>
      </c>
      <c r="Y9" s="40">
        <v>58.32</v>
      </c>
      <c r="Z9" s="32">
        <v>9.4600000000000009</v>
      </c>
      <c r="AA9" s="32">
        <v>71.55</v>
      </c>
      <c r="AB9" s="32">
        <v>2.71</v>
      </c>
      <c r="AC9" s="32">
        <v>0.13</v>
      </c>
      <c r="AD9" s="32">
        <v>3.34</v>
      </c>
      <c r="AF9" s="26" t="s">
        <v>10</v>
      </c>
      <c r="AG9" s="73">
        <v>6</v>
      </c>
    </row>
    <row r="10" spans="1:34" x14ac:dyDescent="0.3">
      <c r="A10" s="25" t="s">
        <v>34</v>
      </c>
      <c r="B10" s="26" t="s">
        <v>10</v>
      </c>
      <c r="C10" s="38">
        <v>14.85</v>
      </c>
      <c r="D10" s="38">
        <v>20.12</v>
      </c>
      <c r="E10" s="38">
        <v>1.37</v>
      </c>
      <c r="F10" s="38">
        <v>10.99</v>
      </c>
      <c r="G10" s="38">
        <v>20.47</v>
      </c>
      <c r="J10" s="13" t="s">
        <v>55</v>
      </c>
      <c r="K10" s="36">
        <v>119.86</v>
      </c>
      <c r="L10" s="36">
        <v>111.09</v>
      </c>
      <c r="M10" s="36">
        <v>61.37</v>
      </c>
      <c r="N10" s="36">
        <v>42</v>
      </c>
      <c r="O10" s="36">
        <v>92.16</v>
      </c>
      <c r="P10" s="38">
        <v>20.47</v>
      </c>
      <c r="Q10" s="38">
        <v>56.15</v>
      </c>
      <c r="R10" s="38">
        <v>298.39999999999998</v>
      </c>
      <c r="S10" s="38">
        <v>80.44</v>
      </c>
      <c r="T10" s="38">
        <v>56.24</v>
      </c>
      <c r="U10" s="40">
        <v>169.73</v>
      </c>
      <c r="V10" s="40">
        <v>139</v>
      </c>
      <c r="W10" s="40">
        <v>11.99</v>
      </c>
      <c r="X10" s="40">
        <v>84.14</v>
      </c>
      <c r="Y10" s="40">
        <v>75.19</v>
      </c>
      <c r="Z10" s="32">
        <v>15.82</v>
      </c>
      <c r="AA10" s="32">
        <v>95.55</v>
      </c>
      <c r="AB10" s="32">
        <v>12.56</v>
      </c>
      <c r="AC10" s="32">
        <v>2.14</v>
      </c>
      <c r="AD10" s="32">
        <v>17.600000000000001</v>
      </c>
      <c r="AF10" s="26" t="s">
        <v>11</v>
      </c>
      <c r="AG10" s="73">
        <v>7</v>
      </c>
    </row>
    <row r="11" spans="1:34" x14ac:dyDescent="0.3">
      <c r="A11" s="25" t="s">
        <v>34</v>
      </c>
      <c r="B11" s="26" t="s">
        <v>11</v>
      </c>
      <c r="C11" s="38">
        <v>12.2</v>
      </c>
      <c r="D11" s="38">
        <v>56.35</v>
      </c>
      <c r="E11" s="38">
        <v>4.5999999999999996</v>
      </c>
      <c r="F11" s="38">
        <v>55.43</v>
      </c>
      <c r="G11" s="38">
        <v>56.15</v>
      </c>
      <c r="J11" s="74" t="s">
        <v>66</v>
      </c>
      <c r="K11" s="75">
        <v>1</v>
      </c>
      <c r="L11" s="75">
        <v>2</v>
      </c>
      <c r="M11" s="75">
        <v>3</v>
      </c>
      <c r="N11" s="75">
        <v>4</v>
      </c>
      <c r="O11" s="75">
        <v>5</v>
      </c>
      <c r="P11" s="76">
        <v>6</v>
      </c>
      <c r="Q11" s="76">
        <v>7</v>
      </c>
      <c r="R11" s="76">
        <v>8</v>
      </c>
      <c r="S11" s="76">
        <v>9</v>
      </c>
      <c r="T11" s="76">
        <v>10</v>
      </c>
      <c r="U11" s="76">
        <v>11</v>
      </c>
      <c r="V11" s="76">
        <v>12</v>
      </c>
      <c r="W11" s="76">
        <v>13</v>
      </c>
      <c r="X11" s="76">
        <v>14</v>
      </c>
      <c r="Y11" s="76">
        <v>15</v>
      </c>
      <c r="Z11" s="76">
        <v>16</v>
      </c>
      <c r="AA11" s="76">
        <v>17</v>
      </c>
      <c r="AB11" s="76">
        <v>18</v>
      </c>
      <c r="AC11" s="76">
        <v>19</v>
      </c>
      <c r="AD11" s="76">
        <v>20</v>
      </c>
      <c r="AF11" s="26" t="s">
        <v>12</v>
      </c>
      <c r="AG11" s="73">
        <v>8</v>
      </c>
    </row>
    <row r="12" spans="1:34" x14ac:dyDescent="0.3">
      <c r="A12" s="25" t="s">
        <v>34</v>
      </c>
      <c r="B12" s="26" t="s">
        <v>12</v>
      </c>
      <c r="C12" s="38">
        <v>15.02</v>
      </c>
      <c r="D12" s="38">
        <v>7.72</v>
      </c>
      <c r="E12" s="38">
        <v>17.41</v>
      </c>
      <c r="F12" s="38">
        <v>180.75</v>
      </c>
      <c r="G12" s="38">
        <v>298.39999999999998</v>
      </c>
      <c r="J12" s="52" t="s">
        <v>64</v>
      </c>
      <c r="AF12" s="26" t="s">
        <v>13</v>
      </c>
      <c r="AG12" s="73">
        <v>9</v>
      </c>
    </row>
    <row r="13" spans="1:34" x14ac:dyDescent="0.3">
      <c r="A13" s="25" t="s">
        <v>34</v>
      </c>
      <c r="B13" s="26" t="s">
        <v>13</v>
      </c>
      <c r="C13" s="38">
        <v>13.55</v>
      </c>
      <c r="D13" s="38">
        <v>78.53</v>
      </c>
      <c r="E13" s="38">
        <v>5.8</v>
      </c>
      <c r="F13" s="38">
        <v>52.5</v>
      </c>
      <c r="G13" s="38">
        <v>80.44</v>
      </c>
      <c r="J13" s="13" t="s">
        <v>47</v>
      </c>
      <c r="K13" s="65" t="str">
        <f>IF($A$27=K$5,K5,"")</f>
        <v/>
      </c>
      <c r="L13" s="65" t="str">
        <f t="shared" ref="L13:AD13" si="0">IF($A$27=L$5,L5,"")</f>
        <v/>
      </c>
      <c r="M13" s="65" t="str">
        <f t="shared" si="0"/>
        <v/>
      </c>
      <c r="N13" s="65" t="str">
        <f t="shared" si="0"/>
        <v/>
      </c>
      <c r="O13" s="65" t="str">
        <f t="shared" si="0"/>
        <v/>
      </c>
      <c r="P13" s="65" t="str">
        <f t="shared" si="0"/>
        <v>BAC</v>
      </c>
      <c r="Q13" s="65" t="str">
        <f t="shared" si="0"/>
        <v/>
      </c>
      <c r="R13" s="65" t="str">
        <f t="shared" si="0"/>
        <v/>
      </c>
      <c r="S13" s="65" t="str">
        <f t="shared" si="0"/>
        <v/>
      </c>
      <c r="T13" s="65" t="str">
        <f t="shared" si="0"/>
        <v/>
      </c>
      <c r="U13" s="65" t="str">
        <f t="shared" si="0"/>
        <v/>
      </c>
      <c r="V13" s="65" t="str">
        <f t="shared" si="0"/>
        <v/>
      </c>
      <c r="W13" s="65" t="str">
        <f t="shared" si="0"/>
        <v/>
      </c>
      <c r="X13" s="65" t="str">
        <f t="shared" si="0"/>
        <v/>
      </c>
      <c r="Y13" s="65" t="str">
        <f t="shared" si="0"/>
        <v/>
      </c>
      <c r="Z13" s="65" t="str">
        <f t="shared" si="0"/>
        <v/>
      </c>
      <c r="AA13" s="65" t="str">
        <f t="shared" si="0"/>
        <v/>
      </c>
      <c r="AB13" s="65" t="str">
        <f t="shared" si="0"/>
        <v/>
      </c>
      <c r="AC13" s="65" t="str">
        <f t="shared" si="0"/>
        <v/>
      </c>
      <c r="AD13" s="65" t="str">
        <f t="shared" si="0"/>
        <v/>
      </c>
      <c r="AF13" s="26" t="s">
        <v>14</v>
      </c>
      <c r="AG13" s="73">
        <v>10</v>
      </c>
    </row>
    <row r="14" spans="1:34" x14ac:dyDescent="0.3">
      <c r="A14" s="25" t="s">
        <v>34</v>
      </c>
      <c r="B14" s="26" t="s">
        <v>14</v>
      </c>
      <c r="C14" s="38">
        <v>12.96</v>
      </c>
      <c r="D14" s="38">
        <v>52.1</v>
      </c>
      <c r="E14" s="38">
        <v>4.03</v>
      </c>
      <c r="F14" s="38">
        <v>43.55</v>
      </c>
      <c r="G14" s="38">
        <v>56.24</v>
      </c>
      <c r="J14" s="13" t="s">
        <v>51</v>
      </c>
      <c r="K14" s="65" t="str">
        <f t="shared" ref="K14:AD14" si="1">IF($A$27=K$5,K6,"")</f>
        <v/>
      </c>
      <c r="L14" s="65" t="str">
        <f t="shared" si="1"/>
        <v/>
      </c>
      <c r="M14" s="65" t="str">
        <f t="shared" si="1"/>
        <v/>
      </c>
      <c r="N14" s="65" t="str">
        <f t="shared" si="1"/>
        <v/>
      </c>
      <c r="O14" s="65" t="str">
        <f t="shared" si="1"/>
        <v/>
      </c>
      <c r="P14" s="65">
        <f t="shared" si="1"/>
        <v>14.85</v>
      </c>
      <c r="Q14" s="65" t="str">
        <f t="shared" si="1"/>
        <v/>
      </c>
      <c r="R14" s="65" t="str">
        <f t="shared" si="1"/>
        <v/>
      </c>
      <c r="S14" s="65" t="str">
        <f t="shared" si="1"/>
        <v/>
      </c>
      <c r="T14" s="65" t="str">
        <f t="shared" si="1"/>
        <v/>
      </c>
      <c r="U14" s="65" t="str">
        <f t="shared" si="1"/>
        <v/>
      </c>
      <c r="V14" s="65" t="str">
        <f t="shared" si="1"/>
        <v/>
      </c>
      <c r="W14" s="65" t="str">
        <f t="shared" si="1"/>
        <v/>
      </c>
      <c r="X14" s="65" t="str">
        <f t="shared" si="1"/>
        <v/>
      </c>
      <c r="Y14" s="65" t="str">
        <f t="shared" si="1"/>
        <v/>
      </c>
      <c r="Z14" s="65" t="str">
        <f t="shared" si="1"/>
        <v/>
      </c>
      <c r="AA14" s="65" t="str">
        <f t="shared" si="1"/>
        <v/>
      </c>
      <c r="AB14" s="65" t="str">
        <f t="shared" si="1"/>
        <v/>
      </c>
      <c r="AC14" s="65" t="str">
        <f t="shared" si="1"/>
        <v/>
      </c>
      <c r="AD14" s="65" t="str">
        <f t="shared" si="1"/>
        <v/>
      </c>
      <c r="AF14" s="29" t="s">
        <v>16</v>
      </c>
      <c r="AG14" s="73">
        <v>11</v>
      </c>
    </row>
    <row r="15" spans="1:34" x14ac:dyDescent="0.3">
      <c r="A15" s="28" t="s">
        <v>15</v>
      </c>
      <c r="B15" s="29" t="s">
        <v>16</v>
      </c>
      <c r="C15" s="40">
        <v>28.64</v>
      </c>
      <c r="D15" s="40">
        <v>152.66999999999999</v>
      </c>
      <c r="E15" s="40">
        <v>5.33</v>
      </c>
      <c r="F15" s="40">
        <v>138.57</v>
      </c>
      <c r="G15" s="40">
        <v>169.73</v>
      </c>
      <c r="J15" s="13" t="s">
        <v>57</v>
      </c>
      <c r="K15" s="65" t="str">
        <f t="shared" ref="K15:AD15" si="2">IF($A$27=K$5,K7,"")</f>
        <v/>
      </c>
      <c r="L15" s="65" t="str">
        <f t="shared" si="2"/>
        <v/>
      </c>
      <c r="M15" s="65" t="str">
        <f t="shared" si="2"/>
        <v/>
      </c>
      <c r="N15" s="65" t="str">
        <f t="shared" si="2"/>
        <v/>
      </c>
      <c r="O15" s="65" t="str">
        <f t="shared" si="2"/>
        <v/>
      </c>
      <c r="P15" s="65">
        <f t="shared" si="2"/>
        <v>20.12</v>
      </c>
      <c r="Q15" s="65" t="str">
        <f t="shared" si="2"/>
        <v/>
      </c>
      <c r="R15" s="65" t="str">
        <f t="shared" si="2"/>
        <v/>
      </c>
      <c r="S15" s="65" t="str">
        <f t="shared" si="2"/>
        <v/>
      </c>
      <c r="T15" s="65" t="str">
        <f t="shared" si="2"/>
        <v/>
      </c>
      <c r="U15" s="65" t="str">
        <f t="shared" si="2"/>
        <v/>
      </c>
      <c r="V15" s="65" t="str">
        <f t="shared" si="2"/>
        <v/>
      </c>
      <c r="W15" s="65" t="str">
        <f t="shared" si="2"/>
        <v/>
      </c>
      <c r="X15" s="65" t="str">
        <f t="shared" si="2"/>
        <v/>
      </c>
      <c r="Y15" s="65" t="str">
        <f t="shared" si="2"/>
        <v/>
      </c>
      <c r="Z15" s="65" t="str">
        <f t="shared" si="2"/>
        <v/>
      </c>
      <c r="AA15" s="65" t="str">
        <f t="shared" si="2"/>
        <v/>
      </c>
      <c r="AB15" s="65" t="str">
        <f t="shared" si="2"/>
        <v/>
      </c>
      <c r="AC15" s="65" t="str">
        <f t="shared" si="2"/>
        <v/>
      </c>
      <c r="AD15" s="65" t="str">
        <f t="shared" si="2"/>
        <v/>
      </c>
      <c r="AF15" s="29" t="s">
        <v>17</v>
      </c>
      <c r="AG15" s="73">
        <v>12</v>
      </c>
    </row>
    <row r="16" spans="1:34" x14ac:dyDescent="0.3">
      <c r="A16" s="28" t="s">
        <v>15</v>
      </c>
      <c r="B16" s="29" t="s">
        <v>17</v>
      </c>
      <c r="C16" s="40">
        <v>22.17</v>
      </c>
      <c r="D16" s="40">
        <v>130.97999999999999</v>
      </c>
      <c r="E16" s="40">
        <v>5.91</v>
      </c>
      <c r="F16" s="40">
        <v>109.62</v>
      </c>
      <c r="G16" s="40">
        <v>139</v>
      </c>
      <c r="J16" s="13" t="s">
        <v>53</v>
      </c>
      <c r="K16" s="65" t="str">
        <f t="shared" ref="K16:AD16" si="3">IF($A$27=K$5,K8,"")</f>
        <v/>
      </c>
      <c r="L16" s="65" t="str">
        <f t="shared" si="3"/>
        <v/>
      </c>
      <c r="M16" s="65" t="str">
        <f t="shared" si="3"/>
        <v/>
      </c>
      <c r="N16" s="65" t="str">
        <f t="shared" si="3"/>
        <v/>
      </c>
      <c r="O16" s="65" t="str">
        <f t="shared" si="3"/>
        <v/>
      </c>
      <c r="P16" s="65">
        <f t="shared" si="3"/>
        <v>1.37</v>
      </c>
      <c r="Q16" s="65" t="str">
        <f t="shared" si="3"/>
        <v/>
      </c>
      <c r="R16" s="65" t="str">
        <f t="shared" si="3"/>
        <v/>
      </c>
      <c r="S16" s="65" t="str">
        <f t="shared" si="3"/>
        <v/>
      </c>
      <c r="T16" s="65" t="str">
        <f t="shared" si="3"/>
        <v/>
      </c>
      <c r="U16" s="65" t="str">
        <f t="shared" si="3"/>
        <v/>
      </c>
      <c r="V16" s="65" t="str">
        <f t="shared" si="3"/>
        <v/>
      </c>
      <c r="W16" s="65" t="str">
        <f t="shared" si="3"/>
        <v/>
      </c>
      <c r="X16" s="65" t="str">
        <f t="shared" si="3"/>
        <v/>
      </c>
      <c r="Y16" s="65" t="str">
        <f t="shared" si="3"/>
        <v/>
      </c>
      <c r="Z16" s="65" t="str">
        <f t="shared" si="3"/>
        <v/>
      </c>
      <c r="AA16" s="65" t="str">
        <f t="shared" si="3"/>
        <v/>
      </c>
      <c r="AB16" s="65" t="str">
        <f t="shared" si="3"/>
        <v/>
      </c>
      <c r="AC16" s="65" t="str">
        <f t="shared" si="3"/>
        <v/>
      </c>
      <c r="AD16" s="65" t="str">
        <f t="shared" si="3"/>
        <v/>
      </c>
      <c r="AF16" s="29" t="s">
        <v>18</v>
      </c>
      <c r="AG16" s="73">
        <v>13</v>
      </c>
    </row>
    <row r="17" spans="1:33" x14ac:dyDescent="0.3">
      <c r="A17" s="28" t="s">
        <v>15</v>
      </c>
      <c r="B17" s="29" t="s">
        <v>18</v>
      </c>
      <c r="C17" s="40">
        <v>-8.0399999999999991</v>
      </c>
      <c r="D17" s="40">
        <v>9.7200000000000006</v>
      </c>
      <c r="E17" s="40">
        <v>-1.21</v>
      </c>
      <c r="F17" s="40">
        <v>6</v>
      </c>
      <c r="G17" s="40">
        <v>11.99</v>
      </c>
      <c r="J17" s="13" t="s">
        <v>54</v>
      </c>
      <c r="K17" s="65" t="str">
        <f t="shared" ref="K17:AD17" si="4">IF($A$27=K$5,K9,"")</f>
        <v/>
      </c>
      <c r="L17" s="65" t="str">
        <f t="shared" si="4"/>
        <v/>
      </c>
      <c r="M17" s="65" t="str">
        <f t="shared" si="4"/>
        <v/>
      </c>
      <c r="N17" s="65" t="str">
        <f t="shared" si="4"/>
        <v/>
      </c>
      <c r="O17" s="65" t="str">
        <f t="shared" si="4"/>
        <v/>
      </c>
      <c r="P17" s="65">
        <f t="shared" si="4"/>
        <v>10.99</v>
      </c>
      <c r="Q17" s="65" t="str">
        <f t="shared" si="4"/>
        <v/>
      </c>
      <c r="R17" s="65" t="str">
        <f t="shared" si="4"/>
        <v/>
      </c>
      <c r="S17" s="65" t="str">
        <f t="shared" si="4"/>
        <v/>
      </c>
      <c r="T17" s="65" t="str">
        <f t="shared" si="4"/>
        <v/>
      </c>
      <c r="U17" s="65" t="str">
        <f t="shared" si="4"/>
        <v/>
      </c>
      <c r="V17" s="65" t="str">
        <f t="shared" si="4"/>
        <v/>
      </c>
      <c r="W17" s="65" t="str">
        <f t="shared" si="4"/>
        <v/>
      </c>
      <c r="X17" s="65" t="str">
        <f t="shared" si="4"/>
        <v/>
      </c>
      <c r="Y17" s="65" t="str">
        <f t="shared" si="4"/>
        <v/>
      </c>
      <c r="Z17" s="65" t="str">
        <f t="shared" si="4"/>
        <v/>
      </c>
      <c r="AA17" s="65" t="str">
        <f t="shared" si="4"/>
        <v/>
      </c>
      <c r="AB17" s="65" t="str">
        <f t="shared" si="4"/>
        <v/>
      </c>
      <c r="AC17" s="65" t="str">
        <f t="shared" si="4"/>
        <v/>
      </c>
      <c r="AD17" s="65" t="str">
        <f t="shared" si="4"/>
        <v/>
      </c>
      <c r="AF17" s="29" t="s">
        <v>19</v>
      </c>
      <c r="AG17" s="73">
        <v>14</v>
      </c>
    </row>
    <row r="18" spans="1:33" x14ac:dyDescent="0.3">
      <c r="A18" s="28" t="s">
        <v>15</v>
      </c>
      <c r="B18" s="29" t="s">
        <v>19</v>
      </c>
      <c r="C18" s="40">
        <v>14.41</v>
      </c>
      <c r="D18" s="40">
        <v>77.87</v>
      </c>
      <c r="E18" s="40">
        <v>5.4</v>
      </c>
      <c r="F18" s="40">
        <v>65.5</v>
      </c>
      <c r="G18" s="40">
        <v>84.14</v>
      </c>
      <c r="J18" s="13" t="s">
        <v>55</v>
      </c>
      <c r="K18" s="65" t="str">
        <f t="shared" ref="K18:AD19" si="5">IF($A$27=K$5,K10,"")</f>
        <v/>
      </c>
      <c r="L18" s="65" t="str">
        <f t="shared" si="5"/>
        <v/>
      </c>
      <c r="M18" s="65" t="str">
        <f t="shared" si="5"/>
        <v/>
      </c>
      <c r="N18" s="65" t="str">
        <f t="shared" si="5"/>
        <v/>
      </c>
      <c r="O18" s="65" t="str">
        <f t="shared" si="5"/>
        <v/>
      </c>
      <c r="P18" s="65">
        <f t="shared" si="5"/>
        <v>20.47</v>
      </c>
      <c r="Q18" s="65" t="str">
        <f t="shared" si="5"/>
        <v/>
      </c>
      <c r="R18" s="65" t="str">
        <f t="shared" si="5"/>
        <v/>
      </c>
      <c r="S18" s="65" t="str">
        <f t="shared" si="5"/>
        <v/>
      </c>
      <c r="T18" s="65" t="str">
        <f t="shared" si="5"/>
        <v/>
      </c>
      <c r="U18" s="65" t="str">
        <f t="shared" si="5"/>
        <v/>
      </c>
      <c r="V18" s="65" t="str">
        <f t="shared" si="5"/>
        <v/>
      </c>
      <c r="W18" s="65" t="str">
        <f t="shared" si="5"/>
        <v/>
      </c>
      <c r="X18" s="65" t="str">
        <f t="shared" si="5"/>
        <v/>
      </c>
      <c r="Y18" s="65" t="str">
        <f t="shared" si="5"/>
        <v/>
      </c>
      <c r="Z18" s="65" t="str">
        <f t="shared" si="5"/>
        <v/>
      </c>
      <c r="AA18" s="65" t="str">
        <f t="shared" si="5"/>
        <v/>
      </c>
      <c r="AB18" s="65" t="str">
        <f t="shared" si="5"/>
        <v/>
      </c>
      <c r="AC18" s="65" t="str">
        <f t="shared" si="5"/>
        <v/>
      </c>
      <c r="AD18" s="65" t="str">
        <f t="shared" si="5"/>
        <v/>
      </c>
      <c r="AF18" s="29" t="s">
        <v>20</v>
      </c>
      <c r="AG18" s="73">
        <v>15</v>
      </c>
    </row>
    <row r="19" spans="1:33" x14ac:dyDescent="0.3">
      <c r="A19" s="28" t="s">
        <v>15</v>
      </c>
      <c r="B19" s="29" t="s">
        <v>20</v>
      </c>
      <c r="C19" s="40">
        <v>15.1</v>
      </c>
      <c r="D19" s="40">
        <v>70.12</v>
      </c>
      <c r="E19" s="40">
        <v>15.1</v>
      </c>
      <c r="F19" s="40">
        <v>58.32</v>
      </c>
      <c r="G19" s="40">
        <v>75.19</v>
      </c>
      <c r="J19" s="74" t="s">
        <v>66</v>
      </c>
      <c r="K19" s="65" t="str">
        <f t="shared" si="5"/>
        <v/>
      </c>
      <c r="L19" s="65" t="str">
        <f t="shared" si="5"/>
        <v/>
      </c>
      <c r="M19" s="65" t="str">
        <f t="shared" si="5"/>
        <v/>
      </c>
      <c r="N19" s="65" t="str">
        <f t="shared" si="5"/>
        <v/>
      </c>
      <c r="O19" s="65" t="str">
        <f t="shared" si="5"/>
        <v/>
      </c>
      <c r="P19" s="65">
        <f t="shared" si="5"/>
        <v>6</v>
      </c>
      <c r="Q19" s="65" t="str">
        <f t="shared" si="5"/>
        <v/>
      </c>
      <c r="R19" s="65" t="str">
        <f t="shared" si="5"/>
        <v/>
      </c>
      <c r="S19" s="65" t="str">
        <f t="shared" si="5"/>
        <v/>
      </c>
      <c r="T19" s="65" t="str">
        <f t="shared" si="5"/>
        <v/>
      </c>
      <c r="U19" s="65" t="str">
        <f t="shared" si="5"/>
        <v/>
      </c>
      <c r="V19" s="65" t="str">
        <f t="shared" si="5"/>
        <v/>
      </c>
      <c r="W19" s="65" t="str">
        <f t="shared" si="5"/>
        <v/>
      </c>
      <c r="X19" s="65" t="str">
        <f t="shared" si="5"/>
        <v/>
      </c>
      <c r="Y19" s="65" t="str">
        <f t="shared" si="5"/>
        <v/>
      </c>
      <c r="Z19" s="65" t="str">
        <f t="shared" si="5"/>
        <v/>
      </c>
      <c r="AA19" s="65" t="str">
        <f t="shared" si="5"/>
        <v/>
      </c>
      <c r="AB19" s="65" t="str">
        <f t="shared" si="5"/>
        <v/>
      </c>
      <c r="AC19" s="65" t="str">
        <f t="shared" si="5"/>
        <v/>
      </c>
      <c r="AD19" s="65" t="str">
        <f t="shared" si="5"/>
        <v/>
      </c>
      <c r="AF19" s="32" t="s">
        <v>22</v>
      </c>
      <c r="AG19" s="73">
        <v>16</v>
      </c>
    </row>
    <row r="20" spans="1:33" x14ac:dyDescent="0.3">
      <c r="A20" s="31" t="s">
        <v>21</v>
      </c>
      <c r="B20" s="32" t="s">
        <v>22</v>
      </c>
      <c r="C20" s="32">
        <v>-5.56</v>
      </c>
      <c r="D20" s="32">
        <v>14.96</v>
      </c>
      <c r="E20" s="32">
        <v>-2.69</v>
      </c>
      <c r="F20" s="32">
        <v>9.4600000000000009</v>
      </c>
      <c r="G20" s="32">
        <v>15.82</v>
      </c>
      <c r="J20" s="52" t="s">
        <v>47</v>
      </c>
      <c r="K20" s="52" t="str">
        <f>LOOKUP(2,1/(K13:AD13&lt;&gt;""),K13:AD13)</f>
        <v>BAC</v>
      </c>
      <c r="AF20" s="32" t="s">
        <v>23</v>
      </c>
      <c r="AG20" s="73">
        <v>17</v>
      </c>
    </row>
    <row r="21" spans="1:33" ht="18" customHeight="1" x14ac:dyDescent="0.3">
      <c r="A21" s="31" t="s">
        <v>21</v>
      </c>
      <c r="B21" s="32" t="s">
        <v>23</v>
      </c>
      <c r="C21" s="32">
        <v>40.58</v>
      </c>
      <c r="D21" s="32">
        <v>86.68</v>
      </c>
      <c r="E21" s="32">
        <v>2.14</v>
      </c>
      <c r="F21" s="32">
        <v>71.55</v>
      </c>
      <c r="G21" s="32">
        <v>95.55</v>
      </c>
      <c r="J21" s="13" t="s">
        <v>62</v>
      </c>
      <c r="K21" s="13" t="s">
        <v>63</v>
      </c>
      <c r="L21" s="85" t="s">
        <v>56</v>
      </c>
      <c r="M21" s="85"/>
      <c r="N21" s="85"/>
      <c r="O21" s="85"/>
      <c r="P21" s="85"/>
      <c r="Q21" s="85"/>
      <c r="R21" s="85"/>
      <c r="S21" s="85"/>
      <c r="T21" s="85"/>
      <c r="U21" s="85"/>
      <c r="V21" s="85"/>
      <c r="AF21" s="32" t="s">
        <v>24</v>
      </c>
      <c r="AG21" s="73">
        <v>18</v>
      </c>
    </row>
    <row r="22" spans="1:33" x14ac:dyDescent="0.3">
      <c r="A22" s="31" t="s">
        <v>21</v>
      </c>
      <c r="B22" s="32" t="s">
        <v>24</v>
      </c>
      <c r="C22" s="32">
        <v>-5.21</v>
      </c>
      <c r="D22" s="32">
        <v>10.48</v>
      </c>
      <c r="E22" s="32">
        <v>-2.0099999999999998</v>
      </c>
      <c r="F22" s="32">
        <v>2.71</v>
      </c>
      <c r="G22" s="32">
        <v>12.56</v>
      </c>
      <c r="J22" s="13" t="s">
        <v>51</v>
      </c>
      <c r="K22" s="13">
        <f t="shared" ref="K22:K27" si="6">LOOKUP(2,1/(K14:AD14&lt;&gt;""),K14:AD14)</f>
        <v>14.85</v>
      </c>
      <c r="L22" s="84" t="s">
        <v>67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AF22" s="32" t="s">
        <v>25</v>
      </c>
      <c r="AG22" s="73">
        <v>19</v>
      </c>
    </row>
    <row r="23" spans="1:33" x14ac:dyDescent="0.3">
      <c r="A23" s="31" t="s">
        <v>21</v>
      </c>
      <c r="B23" s="32" t="s">
        <v>25</v>
      </c>
      <c r="C23" s="32">
        <v>-0.06</v>
      </c>
      <c r="D23" s="32">
        <v>0.27</v>
      </c>
      <c r="E23" s="32">
        <v>-4.29</v>
      </c>
      <c r="F23" s="32">
        <v>0.13</v>
      </c>
      <c r="G23" s="32">
        <v>2.14</v>
      </c>
      <c r="J23" s="13" t="s">
        <v>57</v>
      </c>
      <c r="K23" s="13">
        <f t="shared" si="6"/>
        <v>20.12</v>
      </c>
      <c r="L23" s="84" t="s">
        <v>68</v>
      </c>
      <c r="M23" s="84"/>
      <c r="N23" s="84"/>
      <c r="O23" s="84"/>
      <c r="P23" s="84"/>
      <c r="Q23" s="84"/>
      <c r="R23" s="84"/>
      <c r="S23" s="84"/>
      <c r="T23" s="84"/>
      <c r="U23" s="84"/>
      <c r="V23" s="84"/>
      <c r="AF23" s="32" t="s">
        <v>26</v>
      </c>
      <c r="AG23" s="73">
        <v>20</v>
      </c>
    </row>
    <row r="24" spans="1:33" x14ac:dyDescent="0.3">
      <c r="A24" s="31" t="s">
        <v>21</v>
      </c>
      <c r="B24" s="32" t="s">
        <v>26</v>
      </c>
      <c r="C24" s="32">
        <v>-1.83</v>
      </c>
      <c r="D24" s="32">
        <v>10.3</v>
      </c>
      <c r="E24" s="32">
        <v>-5.33</v>
      </c>
      <c r="F24" s="32">
        <v>3.34</v>
      </c>
      <c r="G24" s="32">
        <v>17.600000000000001</v>
      </c>
      <c r="J24" s="13" t="s">
        <v>53</v>
      </c>
      <c r="K24" s="13">
        <f t="shared" si="6"/>
        <v>1.37</v>
      </c>
      <c r="L24" s="84" t="s">
        <v>59</v>
      </c>
      <c r="M24" s="84"/>
      <c r="N24" s="84"/>
      <c r="O24" s="84"/>
      <c r="P24" s="84"/>
      <c r="Q24" s="84"/>
      <c r="R24" s="84"/>
      <c r="S24" s="84"/>
      <c r="T24" s="84"/>
      <c r="U24" s="84"/>
      <c r="V24" s="84"/>
    </row>
    <row r="25" spans="1:33" x14ac:dyDescent="0.3">
      <c r="J25" s="13" t="s">
        <v>54</v>
      </c>
      <c r="K25" s="13">
        <f t="shared" si="6"/>
        <v>10.99</v>
      </c>
      <c r="L25" s="84" t="s">
        <v>60</v>
      </c>
      <c r="M25" s="84"/>
      <c r="N25" s="84"/>
      <c r="O25" s="84"/>
      <c r="P25" s="84"/>
      <c r="Q25" s="84"/>
      <c r="R25" s="84"/>
      <c r="S25" s="84"/>
      <c r="T25" s="84"/>
      <c r="U25" s="84"/>
      <c r="V25" s="84"/>
    </row>
    <row r="26" spans="1:33" x14ac:dyDescent="0.3">
      <c r="A26" s="31" t="s">
        <v>34</v>
      </c>
      <c r="B26" s="15"/>
      <c r="J26" s="13" t="s">
        <v>55</v>
      </c>
      <c r="K26" s="13">
        <f t="shared" si="6"/>
        <v>20.47</v>
      </c>
      <c r="L26" s="84" t="s">
        <v>61</v>
      </c>
      <c r="M26" s="84"/>
      <c r="N26" s="84"/>
      <c r="O26" s="84"/>
      <c r="P26" s="84"/>
      <c r="Q26" s="84"/>
      <c r="R26" s="84"/>
      <c r="S26" s="84"/>
      <c r="T26" s="84"/>
      <c r="U26" s="84"/>
      <c r="V26" s="84"/>
    </row>
    <row r="27" spans="1:33" x14ac:dyDescent="0.3">
      <c r="A27" s="3" t="s">
        <v>10</v>
      </c>
      <c r="J27" s="74" t="s">
        <v>66</v>
      </c>
      <c r="K27" s="13">
        <f t="shared" si="6"/>
        <v>6</v>
      </c>
    </row>
  </sheetData>
  <mergeCells count="6">
    <mergeCell ref="L26:V26"/>
    <mergeCell ref="L21:V21"/>
    <mergeCell ref="L22:V22"/>
    <mergeCell ref="L23:V23"/>
    <mergeCell ref="L24:V24"/>
    <mergeCell ref="L25:V2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V64"/>
  <sheetViews>
    <sheetView topLeftCell="S45" workbookViewId="0">
      <selection activeCell="J68" sqref="J68"/>
    </sheetView>
  </sheetViews>
  <sheetFormatPr defaultRowHeight="14.4" x14ac:dyDescent="0.3"/>
  <cols>
    <col min="1" max="1" width="12.77734375" style="12" bestFit="1" customWidth="1"/>
    <col min="2" max="2" width="10.5546875" bestFit="1" customWidth="1"/>
    <col min="4" max="4" width="7.5546875" customWidth="1"/>
    <col min="14" max="14" width="8" customWidth="1"/>
  </cols>
  <sheetData>
    <row r="2" spans="1:21" x14ac:dyDescent="0.3">
      <c r="A2" s="90" t="s">
        <v>58</v>
      </c>
      <c r="B2" s="90"/>
      <c r="C2" s="90"/>
      <c r="D2" s="90"/>
    </row>
    <row r="4" spans="1:21" x14ac:dyDescent="0.3">
      <c r="A4" s="3"/>
      <c r="B4" s="86" t="s">
        <v>9</v>
      </c>
      <c r="C4" s="86"/>
      <c r="D4" s="86"/>
      <c r="E4" s="86"/>
      <c r="F4" s="86"/>
      <c r="G4" s="87" t="s">
        <v>34</v>
      </c>
      <c r="H4" s="87"/>
      <c r="I4" s="87"/>
      <c r="J4" s="87"/>
      <c r="K4" s="87"/>
      <c r="L4" s="88" t="s">
        <v>15</v>
      </c>
      <c r="M4" s="88"/>
      <c r="N4" s="88"/>
      <c r="O4" s="88"/>
      <c r="P4" s="88"/>
      <c r="Q4" s="89" t="s">
        <v>21</v>
      </c>
      <c r="R4" s="89"/>
      <c r="S4" s="89"/>
      <c r="T4" s="89"/>
      <c r="U4" s="89"/>
    </row>
    <row r="5" spans="1:21" x14ac:dyDescent="0.3">
      <c r="A5" s="3" t="s">
        <v>0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6" t="s">
        <v>10</v>
      </c>
      <c r="H5" s="26" t="s">
        <v>11</v>
      </c>
      <c r="I5" s="26" t="s">
        <v>12</v>
      </c>
      <c r="J5" s="26" t="s">
        <v>13</v>
      </c>
      <c r="K5" s="26" t="s">
        <v>14</v>
      </c>
      <c r="L5" s="29" t="s">
        <v>16</v>
      </c>
      <c r="M5" s="29" t="s">
        <v>17</v>
      </c>
      <c r="N5" s="29" t="s">
        <v>18</v>
      </c>
      <c r="O5" s="29" t="s">
        <v>19</v>
      </c>
      <c r="P5" s="29" t="s">
        <v>20</v>
      </c>
      <c r="Q5" s="32" t="s">
        <v>22</v>
      </c>
      <c r="R5" s="32" t="s">
        <v>23</v>
      </c>
      <c r="S5" s="32" t="s">
        <v>24</v>
      </c>
      <c r="T5" s="32" t="s">
        <v>25</v>
      </c>
      <c r="U5" s="32" t="s">
        <v>26</v>
      </c>
    </row>
    <row r="6" spans="1:21" x14ac:dyDescent="0.3">
      <c r="A6" s="4">
        <v>42689</v>
      </c>
      <c r="B6" s="63">
        <v>57.034523</v>
      </c>
      <c r="C6" s="63">
        <v>102.606339267972</v>
      </c>
      <c r="D6" s="63">
        <v>58.217108889561594</v>
      </c>
      <c r="E6" s="63">
        <v>37.497539163943465</v>
      </c>
      <c r="F6" s="63">
        <v>81.533399341942385</v>
      </c>
      <c r="G6" s="63">
        <v>19.710453704685378</v>
      </c>
      <c r="H6" s="63">
        <v>54.497385401327065</v>
      </c>
      <c r="I6" s="63">
        <v>8.0565373563568503</v>
      </c>
      <c r="J6" s="63">
        <v>78.462327877526377</v>
      </c>
      <c r="K6" s="63">
        <v>53.159791131770987</v>
      </c>
      <c r="L6" s="63">
        <v>151.309</v>
      </c>
      <c r="M6" s="64">
        <v>127.84878402088999</v>
      </c>
      <c r="N6" s="63">
        <v>9.5377186834617458</v>
      </c>
      <c r="O6" s="63">
        <v>72.274515249250499</v>
      </c>
      <c r="P6" s="63">
        <v>70.547592247044804</v>
      </c>
      <c r="Q6" s="63">
        <v>13.444807832662759</v>
      </c>
      <c r="R6" s="63">
        <v>85.305000000000007</v>
      </c>
      <c r="S6" s="63">
        <v>9.5650131896953869</v>
      </c>
      <c r="T6" s="63">
        <v>0.24899453275730518</v>
      </c>
      <c r="U6" s="63">
        <v>8.7419843165824158</v>
      </c>
    </row>
    <row r="7" spans="1:21" x14ac:dyDescent="0.3">
      <c r="A7" s="4">
        <v>42690</v>
      </c>
      <c r="B7" s="63">
        <v>57.600991999999998</v>
      </c>
      <c r="C7" s="63">
        <v>102.05999799999999</v>
      </c>
      <c r="D7" s="63">
        <v>57.034523</v>
      </c>
      <c r="E7" s="63">
        <v>37.722892000000002</v>
      </c>
      <c r="F7" s="63">
        <v>81.209998999999996</v>
      </c>
      <c r="G7" s="63">
        <v>16.129999000000002</v>
      </c>
      <c r="H7" s="63">
        <v>51.315139000000002</v>
      </c>
      <c r="I7" s="63">
        <v>7.27</v>
      </c>
      <c r="J7" s="63">
        <v>67.739998</v>
      </c>
      <c r="K7" s="63">
        <v>52.647928999999998</v>
      </c>
      <c r="L7" s="64">
        <v>151.52133896520186</v>
      </c>
      <c r="M7" s="64">
        <v>127.67878402089022</v>
      </c>
      <c r="N7" s="63">
        <v>9.66</v>
      </c>
      <c r="O7" s="64">
        <v>72.373078284142721</v>
      </c>
      <c r="P7" s="64">
        <v>70.413049981896734</v>
      </c>
      <c r="Q7" s="64">
        <v>13.554762745095401</v>
      </c>
      <c r="R7" s="64">
        <v>85.622792259687387</v>
      </c>
      <c r="S7" s="64">
        <v>9.5749000942267788</v>
      </c>
      <c r="T7" s="64">
        <v>0.2470994815600831</v>
      </c>
      <c r="U7" s="64">
        <v>8.7545917299175287</v>
      </c>
    </row>
    <row r="8" spans="1:21" x14ac:dyDescent="0.3">
      <c r="A8" s="4">
        <v>42691</v>
      </c>
      <c r="B8" s="63">
        <v>57.700375000000001</v>
      </c>
      <c r="C8" s="63">
        <v>102.300003</v>
      </c>
      <c r="D8" s="63">
        <v>57.600991999999998</v>
      </c>
      <c r="E8" s="63">
        <v>37.930540000000001</v>
      </c>
      <c r="F8" s="63">
        <v>81</v>
      </c>
      <c r="G8" s="63">
        <v>16.299999</v>
      </c>
      <c r="H8" s="63">
        <v>52.355511</v>
      </c>
      <c r="I8" s="63">
        <v>7.37</v>
      </c>
      <c r="J8" s="63">
        <v>68.309997999999993</v>
      </c>
      <c r="K8" s="63">
        <v>52.115056000000003</v>
      </c>
      <c r="L8" s="64">
        <v>152.55110937444542</v>
      </c>
      <c r="M8" s="64">
        <v>128.91800387882478</v>
      </c>
      <c r="N8" s="63">
        <v>9.85</v>
      </c>
      <c r="O8" s="64">
        <v>71.954803637558356</v>
      </c>
      <c r="P8" s="64">
        <v>70.84796485442439</v>
      </c>
      <c r="Q8" s="64">
        <v>14.232219860966611</v>
      </c>
      <c r="R8" s="64">
        <v>85.829224076728096</v>
      </c>
      <c r="S8" s="64">
        <v>9.584795846694373</v>
      </c>
      <c r="T8" s="64">
        <v>0.26240946799944576</v>
      </c>
      <c r="U8" s="64">
        <v>8.2257860265229574</v>
      </c>
    </row>
    <row r="9" spans="1:21" x14ac:dyDescent="0.3">
      <c r="A9" s="4">
        <v>42692</v>
      </c>
      <c r="B9" s="63">
        <v>57.839506999999998</v>
      </c>
      <c r="C9" s="63">
        <v>102</v>
      </c>
      <c r="D9" s="63">
        <v>57.700375000000001</v>
      </c>
      <c r="E9" s="63">
        <v>37.465800000000002</v>
      </c>
      <c r="F9" s="63">
        <v>81.069999999999993</v>
      </c>
      <c r="G9" s="63">
        <v>16.110001</v>
      </c>
      <c r="H9" s="63">
        <v>51.533119999999997</v>
      </c>
      <c r="I9" s="63">
        <v>7.36</v>
      </c>
      <c r="J9" s="63">
        <v>67.519997000000004</v>
      </c>
      <c r="K9" s="63">
        <v>53.326132000000001</v>
      </c>
      <c r="L9" s="64">
        <v>153.19524115489534</v>
      </c>
      <c r="M9" s="64">
        <v>126.98126200974885</v>
      </c>
      <c r="N9" s="63">
        <v>9.9</v>
      </c>
      <c r="O9" s="64">
        <v>71.486048392607543</v>
      </c>
      <c r="P9" s="64">
        <v>70.823953787364104</v>
      </c>
      <c r="Q9" s="64">
        <v>14.865206978420282</v>
      </c>
      <c r="R9" s="64">
        <v>85.878062979855741</v>
      </c>
      <c r="S9" s="64">
        <v>9.5094853010627585</v>
      </c>
      <c r="T9" s="64">
        <v>0.3645873063373245</v>
      </c>
      <c r="U9" s="64">
        <v>7.337355101050905</v>
      </c>
    </row>
    <row r="10" spans="1:21" x14ac:dyDescent="0.3">
      <c r="A10" s="4">
        <v>42693</v>
      </c>
      <c r="B10" s="63">
        <v>57.660620999999999</v>
      </c>
      <c r="C10" s="63">
        <v>102.30999799999999</v>
      </c>
      <c r="D10" s="63">
        <v>57.839506999999998</v>
      </c>
      <c r="E10" s="63">
        <v>37.465800000000002</v>
      </c>
      <c r="F10" s="63">
        <v>81.209998999999996</v>
      </c>
      <c r="G10" s="63">
        <v>16.030000999999999</v>
      </c>
      <c r="H10" s="63">
        <v>52.226702000000003</v>
      </c>
      <c r="I10" s="63">
        <v>7.53</v>
      </c>
      <c r="J10" s="63">
        <v>67.699996999999996</v>
      </c>
      <c r="K10" s="63">
        <v>52.977342</v>
      </c>
      <c r="L10" s="64">
        <v>154.30559676974025</v>
      </c>
      <c r="M10" s="64">
        <v>125.70187570900899</v>
      </c>
      <c r="N10" s="63">
        <v>9.74</v>
      </c>
      <c r="O10" s="64">
        <v>72.2763511267664</v>
      </c>
      <c r="P10" s="64">
        <v>70.675683720050344</v>
      </c>
      <c r="Q10" s="64">
        <v>13.810236785956564</v>
      </c>
      <c r="R10" s="64">
        <v>85.557054505895195</v>
      </c>
      <c r="S10" s="64">
        <v>9.4885744144885624</v>
      </c>
      <c r="T10" s="64">
        <v>0.25052741070763052</v>
      </c>
      <c r="U10" s="64">
        <v>7.9626731298885449</v>
      </c>
    </row>
    <row r="11" spans="1:21" x14ac:dyDescent="0.3">
      <c r="A11" s="4">
        <v>42694</v>
      </c>
      <c r="B11" s="63">
        <v>57.938885999999997</v>
      </c>
      <c r="C11" s="63">
        <v>102.900002</v>
      </c>
      <c r="D11" s="63">
        <v>57.660620999999999</v>
      </c>
      <c r="E11" s="63">
        <v>37.337254999999999</v>
      </c>
      <c r="F11" s="63">
        <v>80.919998000000007</v>
      </c>
      <c r="G11" s="63">
        <v>15.83</v>
      </c>
      <c r="H11" s="63">
        <v>52.494227000000002</v>
      </c>
      <c r="I11" s="63">
        <v>7.67</v>
      </c>
      <c r="J11" s="63">
        <v>68.260002</v>
      </c>
      <c r="K11" s="63">
        <v>53.180802</v>
      </c>
      <c r="L11" s="64">
        <v>154.11537362820431</v>
      </c>
      <c r="M11" s="64">
        <v>127.72615429301186</v>
      </c>
      <c r="N11" s="63">
        <v>9.81</v>
      </c>
      <c r="O11" s="64">
        <v>72.353649409550911</v>
      </c>
      <c r="P11" s="64">
        <v>71.020303718415192</v>
      </c>
      <c r="Q11" s="64">
        <v>14.836010582436675</v>
      </c>
      <c r="R11" s="64">
        <v>82.637494895481652</v>
      </c>
      <c r="S11" s="64">
        <v>9.442491433545344</v>
      </c>
      <c r="T11" s="64">
        <v>0.24413139497989558</v>
      </c>
      <c r="U11" s="64">
        <v>8.0286593580889232</v>
      </c>
    </row>
    <row r="12" spans="1:21" x14ac:dyDescent="0.3">
      <c r="A12" s="4">
        <v>42695</v>
      </c>
      <c r="B12" s="63">
        <v>57.581114999999997</v>
      </c>
      <c r="C12" s="63">
        <v>103.57</v>
      </c>
      <c r="D12" s="63">
        <v>57.938885999999997</v>
      </c>
      <c r="E12" s="63">
        <v>37.564683000000002</v>
      </c>
      <c r="F12" s="63">
        <v>81.169998000000007</v>
      </c>
      <c r="G12" s="63">
        <v>16</v>
      </c>
      <c r="H12" s="63">
        <v>51.899729999999998</v>
      </c>
      <c r="I12" s="63">
        <v>7.67</v>
      </c>
      <c r="J12" s="63">
        <v>68.349997999999999</v>
      </c>
      <c r="K12" s="63">
        <v>53.568348</v>
      </c>
      <c r="L12" s="64">
        <v>154.4252772265861</v>
      </c>
      <c r="M12" s="64">
        <v>126.3319895943786</v>
      </c>
      <c r="N12" s="63">
        <v>9.5500000000000007</v>
      </c>
      <c r="O12" s="64">
        <v>72.532890571503188</v>
      </c>
      <c r="P12" s="64">
        <v>70.80158305625271</v>
      </c>
      <c r="Q12" s="64">
        <v>14.249283866788801</v>
      </c>
      <c r="R12" s="64">
        <v>84.23379701911216</v>
      </c>
      <c r="S12" s="64">
        <v>9.398450403756712</v>
      </c>
      <c r="T12" s="64">
        <v>0.24441815912185577</v>
      </c>
      <c r="U12" s="64">
        <v>8.4591185806749127</v>
      </c>
    </row>
    <row r="13" spans="1:21" x14ac:dyDescent="0.3">
      <c r="A13" s="4">
        <v>42696</v>
      </c>
      <c r="B13" s="63">
        <v>57.76</v>
      </c>
      <c r="C13" s="63">
        <v>103.5</v>
      </c>
      <c r="D13" s="63">
        <v>57.581114999999997</v>
      </c>
      <c r="E13" s="63">
        <v>36.368226999999997</v>
      </c>
      <c r="F13" s="63">
        <v>81.330001999999993</v>
      </c>
      <c r="G13" s="63">
        <v>16.049999</v>
      </c>
      <c r="H13" s="63">
        <v>52.147438000000001</v>
      </c>
      <c r="I13" s="63">
        <v>7.35</v>
      </c>
      <c r="J13" s="63">
        <v>67.169998000000007</v>
      </c>
      <c r="K13" s="63">
        <v>53.112982000000002</v>
      </c>
      <c r="L13" s="64">
        <v>152.08521526242194</v>
      </c>
      <c r="M13" s="64">
        <v>127.78172172550964</v>
      </c>
      <c r="N13" s="63">
        <v>9.5299999999999994</v>
      </c>
      <c r="O13" s="64">
        <v>72.485168966649866</v>
      </c>
      <c r="P13" s="64">
        <v>70.931880270891668</v>
      </c>
      <c r="Q13" s="64">
        <v>14.482110891914573</v>
      </c>
      <c r="R13" s="64">
        <v>84.960613770635845</v>
      </c>
      <c r="S13" s="64">
        <v>9.4203837656885288</v>
      </c>
      <c r="T13" s="64">
        <v>0.25018737689427545</v>
      </c>
      <c r="U13" s="64">
        <v>8.7793236145689306</v>
      </c>
    </row>
    <row r="14" spans="1:21" x14ac:dyDescent="0.3">
      <c r="A14" s="4">
        <v>42697</v>
      </c>
      <c r="B14" s="63">
        <v>57.439999</v>
      </c>
      <c r="C14" s="63">
        <v>103</v>
      </c>
      <c r="D14" s="63">
        <v>57.76</v>
      </c>
      <c r="E14" s="63">
        <v>36.546211999999997</v>
      </c>
      <c r="F14" s="63">
        <v>81.900002000000001</v>
      </c>
      <c r="G14" s="63">
        <v>16.260000000000002</v>
      </c>
      <c r="H14" s="63">
        <v>50.740454999999997</v>
      </c>
      <c r="I14" s="63">
        <v>7.4</v>
      </c>
      <c r="J14" s="63">
        <v>68.129997000000003</v>
      </c>
      <c r="K14" s="63">
        <v>52.337893000000001</v>
      </c>
      <c r="L14" s="64">
        <v>154.98801743182773</v>
      </c>
      <c r="M14" s="64">
        <v>124.87958872136809</v>
      </c>
      <c r="N14" s="63">
        <v>9.4700000000000006</v>
      </c>
      <c r="O14" s="64">
        <v>72.509085837433062</v>
      </c>
      <c r="P14" s="64">
        <v>70.879371848841885</v>
      </c>
      <c r="Q14" s="64">
        <v>14.208057119527592</v>
      </c>
      <c r="R14" s="64">
        <v>85.102674191324084</v>
      </c>
      <c r="S14" s="64">
        <v>9.3492362867394991</v>
      </c>
      <c r="T14" s="64">
        <v>0.25226033011465049</v>
      </c>
      <c r="U14" s="64">
        <v>9.1133388714526937</v>
      </c>
    </row>
    <row r="15" spans="1:21" x14ac:dyDescent="0.3">
      <c r="A15" s="4">
        <v>42698</v>
      </c>
      <c r="B15" s="63">
        <v>57.560001</v>
      </c>
      <c r="C15" s="63">
        <v>101.879997</v>
      </c>
      <c r="D15" s="63">
        <v>57.439999</v>
      </c>
      <c r="E15" s="63">
        <v>36.872518999999997</v>
      </c>
      <c r="F15" s="63">
        <v>81.519997000000004</v>
      </c>
      <c r="G15" s="63">
        <v>16.469999000000001</v>
      </c>
      <c r="H15" s="63">
        <v>53.405793000000003</v>
      </c>
      <c r="I15" s="63">
        <v>7.49</v>
      </c>
      <c r="J15" s="63">
        <v>68.639999000000003</v>
      </c>
      <c r="K15" s="63">
        <v>53.742742999999997</v>
      </c>
      <c r="L15" s="64">
        <v>154.67878572634953</v>
      </c>
      <c r="M15" s="64">
        <v>120.12617474274087</v>
      </c>
      <c r="N15" s="63">
        <v>9.49</v>
      </c>
      <c r="O15" s="64">
        <v>72.489673065641242</v>
      </c>
      <c r="P15" s="64">
        <v>70.887749629080488</v>
      </c>
      <c r="Q15" s="64">
        <v>13.652648760744173</v>
      </c>
      <c r="R15" s="64">
        <v>84.649639738952516</v>
      </c>
      <c r="S15" s="64">
        <v>9.3258003014953239</v>
      </c>
      <c r="T15" s="64">
        <v>0.25476320304779398</v>
      </c>
      <c r="U15" s="64">
        <v>9.2386468959804766</v>
      </c>
    </row>
    <row r="16" spans="1:21" x14ac:dyDescent="0.3">
      <c r="A16" s="4">
        <v>42699</v>
      </c>
      <c r="B16" s="63">
        <v>57.599997999999999</v>
      </c>
      <c r="C16" s="63">
        <v>99.379997000000003</v>
      </c>
      <c r="D16" s="63">
        <v>57.560001</v>
      </c>
      <c r="E16" s="63">
        <v>36.219907999999997</v>
      </c>
      <c r="F16" s="63">
        <v>80.739998</v>
      </c>
      <c r="G16" s="63">
        <v>16.559999000000001</v>
      </c>
      <c r="H16" s="63">
        <v>52.325786999999998</v>
      </c>
      <c r="I16" s="63">
        <v>7.19</v>
      </c>
      <c r="J16" s="63">
        <v>71.293811000000005</v>
      </c>
      <c r="K16" s="63">
        <v>52.647928999999998</v>
      </c>
      <c r="L16" s="64">
        <v>154.1556293771358</v>
      </c>
      <c r="M16" s="64">
        <v>124.156343428849</v>
      </c>
      <c r="N16" s="63">
        <v>9.6300000000000008</v>
      </c>
      <c r="O16" s="64">
        <v>72.395745643604158</v>
      </c>
      <c r="P16" s="64">
        <v>70.899120630619635</v>
      </c>
      <c r="Q16" s="64">
        <v>14.046286482076484</v>
      </c>
      <c r="R16" s="64">
        <v>84.912290410827083</v>
      </c>
      <c r="S16" s="64">
        <v>9.3207163046455523</v>
      </c>
      <c r="T16" s="64">
        <v>0.25501101975932916</v>
      </c>
      <c r="U16" s="64">
        <v>8.6904263697538688</v>
      </c>
    </row>
    <row r="17" spans="1:21" x14ac:dyDescent="0.3">
      <c r="A17" s="4">
        <v>42700</v>
      </c>
      <c r="B17" s="63">
        <v>57.619999</v>
      </c>
      <c r="C17" s="63">
        <v>100.32</v>
      </c>
      <c r="D17" s="63">
        <v>57.599997999999999</v>
      </c>
      <c r="E17" s="63">
        <v>36.140802000000001</v>
      </c>
      <c r="F17" s="63">
        <v>78.440002000000007</v>
      </c>
      <c r="G17" s="63">
        <v>16.670000000000002</v>
      </c>
      <c r="H17" s="63">
        <v>53.901209000000001</v>
      </c>
      <c r="I17" s="63">
        <v>7.17</v>
      </c>
      <c r="J17" s="63">
        <v>72.155895999999998</v>
      </c>
      <c r="K17" s="63">
        <v>52.706062000000003</v>
      </c>
      <c r="L17" s="64">
        <v>154.54237969219938</v>
      </c>
      <c r="M17" s="64">
        <v>122.80231282480207</v>
      </c>
      <c r="N17" s="63">
        <v>9.66</v>
      </c>
      <c r="O17" s="64">
        <v>72.488765300284712</v>
      </c>
      <c r="P17" s="64">
        <v>70.694705331468256</v>
      </c>
      <c r="Q17" s="64">
        <v>15.364703072862547</v>
      </c>
      <c r="R17" s="64">
        <v>85.363354490510844</v>
      </c>
      <c r="S17" s="64">
        <v>9.2814702963130742</v>
      </c>
      <c r="T17" s="64">
        <v>0.25850076066031874</v>
      </c>
      <c r="U17" s="64">
        <v>8.8158642848712407</v>
      </c>
    </row>
    <row r="18" spans="1:21" x14ac:dyDescent="0.3">
      <c r="A18" s="4">
        <v>42701</v>
      </c>
      <c r="B18" s="63">
        <v>57.669998</v>
      </c>
      <c r="C18" s="63">
        <v>98.769997000000004</v>
      </c>
      <c r="D18" s="63">
        <v>57.619999</v>
      </c>
      <c r="E18" s="63">
        <v>36.694533999999997</v>
      </c>
      <c r="F18" s="63">
        <v>76.790001000000004</v>
      </c>
      <c r="G18" s="63">
        <v>16.77</v>
      </c>
      <c r="H18" s="63">
        <v>53.643591000000001</v>
      </c>
      <c r="I18" s="63">
        <v>7.32</v>
      </c>
      <c r="J18" s="63">
        <v>74.786148999999995</v>
      </c>
      <c r="K18" s="63">
        <v>52.512289000000003</v>
      </c>
      <c r="L18" s="64">
        <v>153.77082152365767</v>
      </c>
      <c r="M18" s="64">
        <v>124.95068495914623</v>
      </c>
      <c r="N18" s="63">
        <v>9.2799999999999994</v>
      </c>
      <c r="O18" s="64">
        <v>72.424674818491852</v>
      </c>
      <c r="P18" s="64">
        <v>70.663253002092276</v>
      </c>
      <c r="Q18" s="64">
        <v>15.523829834280118</v>
      </c>
      <c r="R18" s="64">
        <v>84.980279835694105</v>
      </c>
      <c r="S18" s="64">
        <v>9.1979766454447702</v>
      </c>
      <c r="T18" s="64">
        <v>0.2621251222638864</v>
      </c>
      <c r="U18" s="64">
        <v>8.9778472994005405</v>
      </c>
    </row>
    <row r="19" spans="1:21" x14ac:dyDescent="0.3">
      <c r="A19" s="4">
        <v>42702</v>
      </c>
      <c r="B19" s="63">
        <v>57.889999000000003</v>
      </c>
      <c r="C19" s="63">
        <v>98.790001000000004</v>
      </c>
      <c r="D19" s="63">
        <v>57.669998</v>
      </c>
      <c r="E19" s="63">
        <v>36.368226999999997</v>
      </c>
      <c r="F19" s="63">
        <v>76.110000999999997</v>
      </c>
      <c r="G19" s="63">
        <v>16.719999000000001</v>
      </c>
      <c r="H19" s="63">
        <v>53.019365999999998</v>
      </c>
      <c r="I19" s="63">
        <v>7.27</v>
      </c>
      <c r="J19" s="63">
        <v>73.889696000000001</v>
      </c>
      <c r="K19" s="63">
        <v>53.936512</v>
      </c>
      <c r="L19" s="64">
        <v>154.28369080426205</v>
      </c>
      <c r="M19" s="64">
        <v>127.05738921184981</v>
      </c>
      <c r="N19" s="63">
        <v>9.6199999999999992</v>
      </c>
      <c r="O19" s="64">
        <v>72.50412155028512</v>
      </c>
      <c r="P19" s="64">
        <v>70.692577852597523</v>
      </c>
      <c r="Q19" s="64">
        <v>14.522305098639437</v>
      </c>
      <c r="R19" s="64">
        <v>83.934490653265897</v>
      </c>
      <c r="S19" s="64">
        <v>9.1906300709566366</v>
      </c>
      <c r="T19" s="64">
        <v>0.26375976709417071</v>
      </c>
      <c r="U19" s="64">
        <v>8.9819404587292304</v>
      </c>
    </row>
    <row r="20" spans="1:21" x14ac:dyDescent="0.3">
      <c r="A20" s="4">
        <v>42703</v>
      </c>
      <c r="B20" s="63">
        <v>57.950001</v>
      </c>
      <c r="C20" s="63">
        <v>99.620002999999997</v>
      </c>
      <c r="D20" s="63">
        <v>57.889999000000003</v>
      </c>
      <c r="E20" s="63">
        <v>36.219907999999997</v>
      </c>
      <c r="F20" s="63">
        <v>75.830001999999993</v>
      </c>
      <c r="G20" s="63">
        <v>16.870000999999998</v>
      </c>
      <c r="H20" s="63">
        <v>54.376806999999999</v>
      </c>
      <c r="I20" s="63">
        <v>7.27</v>
      </c>
      <c r="J20" s="63">
        <v>75.278706999999997</v>
      </c>
      <c r="K20" s="63">
        <v>53.364888000000001</v>
      </c>
      <c r="L20" s="64">
        <v>154.15390656692716</v>
      </c>
      <c r="M20" s="64">
        <v>128.53089504232182</v>
      </c>
      <c r="N20" s="63">
        <v>9.32</v>
      </c>
      <c r="O20" s="64">
        <v>72.737934268743103</v>
      </c>
      <c r="P20" s="64">
        <v>70.536505796956021</v>
      </c>
      <c r="Q20" s="64">
        <v>15.754766416509469</v>
      </c>
      <c r="R20" s="64">
        <v>85.411235918668652</v>
      </c>
      <c r="S20" s="64">
        <v>9.1424096519343365</v>
      </c>
      <c r="T20" s="64">
        <v>0.26485723698020852</v>
      </c>
      <c r="U20" s="64">
        <v>8.5413533875340697</v>
      </c>
    </row>
    <row r="21" spans="1:21" x14ac:dyDescent="0.3">
      <c r="A21" s="4">
        <v>42704</v>
      </c>
      <c r="B21" s="63">
        <v>58.169998</v>
      </c>
      <c r="C21" s="63">
        <v>98.93</v>
      </c>
      <c r="D21" s="63">
        <v>57.950001</v>
      </c>
      <c r="E21" s="63">
        <v>36.219907999999997</v>
      </c>
      <c r="F21" s="63">
        <v>76.199996999999996</v>
      </c>
      <c r="G21" s="63">
        <v>16.91</v>
      </c>
      <c r="H21" s="63">
        <v>53.594050000000003</v>
      </c>
      <c r="I21" s="63">
        <v>7.3</v>
      </c>
      <c r="J21" s="63">
        <v>75.510002</v>
      </c>
      <c r="K21" s="63">
        <v>53.975268</v>
      </c>
      <c r="L21" s="64">
        <v>155.06757612583263</v>
      </c>
      <c r="M21" s="64">
        <v>124.75025315463681</v>
      </c>
      <c r="N21" s="63">
        <v>9.0299999999999994</v>
      </c>
      <c r="O21" s="64">
        <v>72.799485277509831</v>
      </c>
      <c r="P21" s="64">
        <v>70.674491628890451</v>
      </c>
      <c r="Q21" s="64">
        <v>15.139238171269435</v>
      </c>
      <c r="R21" s="64">
        <v>85.062131296398007</v>
      </c>
      <c r="S21" s="64">
        <v>9.1476491246308278</v>
      </c>
      <c r="T21" s="64">
        <v>0.26837274310440234</v>
      </c>
      <c r="U21" s="64">
        <v>9.2453621917936779</v>
      </c>
    </row>
    <row r="22" spans="1:21" x14ac:dyDescent="0.3">
      <c r="A22" s="4">
        <v>42705</v>
      </c>
      <c r="B22" s="63">
        <v>58.029998999999997</v>
      </c>
      <c r="C22" s="63">
        <v>99.68</v>
      </c>
      <c r="D22" s="63">
        <v>58.169998</v>
      </c>
      <c r="E22" s="63">
        <v>35.300319999999999</v>
      </c>
      <c r="F22" s="63">
        <v>76.900002000000001</v>
      </c>
      <c r="G22" s="63">
        <v>16.68</v>
      </c>
      <c r="H22" s="63">
        <v>54.584881000000003</v>
      </c>
      <c r="I22" s="63">
        <v>7.28</v>
      </c>
      <c r="J22" s="63">
        <v>72.328181000000001</v>
      </c>
      <c r="K22" s="63">
        <v>53.694296999999999</v>
      </c>
      <c r="L22" s="64">
        <v>154.99469999760794</v>
      </c>
      <c r="M22" s="64">
        <v>128.25155328642165</v>
      </c>
      <c r="N22" s="63">
        <v>8.93</v>
      </c>
      <c r="O22" s="64">
        <v>72.593488028704741</v>
      </c>
      <c r="P22" s="64">
        <v>70.516300791629192</v>
      </c>
      <c r="Q22" s="64">
        <v>15.262110530447174</v>
      </c>
      <c r="R22" s="64">
        <v>84.846534040121171</v>
      </c>
      <c r="S22" s="64">
        <v>9.1206640726716603</v>
      </c>
      <c r="T22" s="64">
        <v>0.27186098602729863</v>
      </c>
      <c r="U22" s="64">
        <v>8.8600015430424239</v>
      </c>
    </row>
    <row r="23" spans="1:21" x14ac:dyDescent="0.3">
      <c r="A23" s="4">
        <v>42706</v>
      </c>
      <c r="B23" s="63">
        <v>58.099997999999999</v>
      </c>
      <c r="C23" s="63">
        <v>100.620003</v>
      </c>
      <c r="D23" s="63">
        <v>58.029998999999997</v>
      </c>
      <c r="E23" s="63">
        <v>35.142111</v>
      </c>
      <c r="F23" s="63">
        <v>78.089995999999999</v>
      </c>
      <c r="G23" s="63">
        <v>16.5</v>
      </c>
      <c r="H23" s="63">
        <v>50.641373999999999</v>
      </c>
      <c r="I23" s="63">
        <v>7.3</v>
      </c>
      <c r="J23" s="63">
        <v>69.441575999999998</v>
      </c>
      <c r="K23" s="63">
        <v>51.543427000000001</v>
      </c>
      <c r="L23" s="64">
        <v>154.70416073672806</v>
      </c>
      <c r="M23" s="64">
        <v>127.52982639549137</v>
      </c>
      <c r="N23" s="63">
        <v>8.26</v>
      </c>
      <c r="O23" s="64">
        <v>72.257187267426772</v>
      </c>
      <c r="P23" s="64">
        <v>70.533762909551442</v>
      </c>
      <c r="Q23" s="64">
        <v>15.505490480168579</v>
      </c>
      <c r="R23" s="64">
        <v>85.45938233461969</v>
      </c>
      <c r="S23" s="64">
        <v>9.0557847254241999</v>
      </c>
      <c r="T23" s="64">
        <v>0.27540984953496556</v>
      </c>
      <c r="U23" s="64">
        <v>8.1119710869139645</v>
      </c>
    </row>
    <row r="24" spans="1:21" x14ac:dyDescent="0.3">
      <c r="A24" s="4">
        <v>42707</v>
      </c>
      <c r="B24" s="63">
        <v>57.889999000000003</v>
      </c>
      <c r="C24" s="63">
        <v>107.779999</v>
      </c>
      <c r="D24" s="63">
        <v>58.099997999999999</v>
      </c>
      <c r="E24" s="63">
        <v>34.449947999999999</v>
      </c>
      <c r="F24" s="63">
        <v>79.419998000000007</v>
      </c>
      <c r="G24" s="63">
        <v>16.610001</v>
      </c>
      <c r="H24" s="63">
        <v>52.900466999999999</v>
      </c>
      <c r="I24" s="63">
        <v>7.23</v>
      </c>
      <c r="J24" s="63">
        <v>71.047533000000001</v>
      </c>
      <c r="K24" s="63">
        <v>52.434778000000001</v>
      </c>
      <c r="L24" s="64">
        <v>155.21412230372826</v>
      </c>
      <c r="M24" s="64">
        <v>128.74425002938216</v>
      </c>
      <c r="N24" s="63">
        <v>8.43</v>
      </c>
      <c r="O24" s="64">
        <v>72.480301974510581</v>
      </c>
      <c r="P24" s="64">
        <v>70.549648139475863</v>
      </c>
      <c r="Q24" s="64">
        <v>15.893888038849305</v>
      </c>
      <c r="R24" s="64">
        <v>83.617979458481301</v>
      </c>
      <c r="S24" s="64">
        <v>9.0515968366350741</v>
      </c>
      <c r="T24" s="64">
        <v>0.28252140186986274</v>
      </c>
      <c r="U24" s="64">
        <v>8.683945903924041</v>
      </c>
    </row>
    <row r="25" spans="1:21" x14ac:dyDescent="0.3">
      <c r="A25" s="4">
        <v>42708</v>
      </c>
      <c r="B25" s="63">
        <v>57.459999000000003</v>
      </c>
      <c r="C25" s="63">
        <v>107.91999800000001</v>
      </c>
      <c r="D25" s="63">
        <v>57.889999000000003</v>
      </c>
      <c r="E25" s="63">
        <v>34.805917999999998</v>
      </c>
      <c r="F25" s="63">
        <v>78.830001999999993</v>
      </c>
      <c r="G25" s="63">
        <v>16.48</v>
      </c>
      <c r="H25" s="63">
        <v>50.631462999999997</v>
      </c>
      <c r="I25" s="63">
        <v>7.29</v>
      </c>
      <c r="J25" s="63">
        <v>69.012944000000005</v>
      </c>
      <c r="K25" s="63">
        <v>53.200178999999999</v>
      </c>
      <c r="L25" s="64">
        <v>155.11113057031753</v>
      </c>
      <c r="M25" s="64">
        <v>128.25297464335361</v>
      </c>
      <c r="N25" s="63">
        <v>8.09</v>
      </c>
      <c r="O25" s="64">
        <v>72.445426830040176</v>
      </c>
      <c r="P25" s="64">
        <v>70.48130465007975</v>
      </c>
      <c r="Q25" s="64">
        <v>15.781191887698526</v>
      </c>
      <c r="R25" s="64">
        <v>85.486048333448082</v>
      </c>
      <c r="S25" s="64">
        <v>9.0046408712454031</v>
      </c>
      <c r="T25" s="64">
        <v>0.27684920915679584</v>
      </c>
      <c r="U25" s="64">
        <v>6.9228146927420049</v>
      </c>
    </row>
    <row r="26" spans="1:21" x14ac:dyDescent="0.3">
      <c r="A26" s="4">
        <v>42709</v>
      </c>
      <c r="B26" s="63">
        <v>57.59</v>
      </c>
      <c r="C26" s="63">
        <v>107.470001</v>
      </c>
      <c r="D26" s="63">
        <v>57.459999000000003</v>
      </c>
      <c r="E26" s="63">
        <v>34.687261999999997</v>
      </c>
      <c r="F26" s="63">
        <v>81.069999999999993</v>
      </c>
      <c r="G26" s="63">
        <v>16.48</v>
      </c>
      <c r="H26" s="63">
        <v>52.038445000000003</v>
      </c>
      <c r="I26" s="63">
        <v>7.49</v>
      </c>
      <c r="J26" s="63">
        <v>68.110000999999997</v>
      </c>
      <c r="K26" s="63">
        <v>54.110908000000002</v>
      </c>
      <c r="L26" s="64">
        <v>155.38427236098946</v>
      </c>
      <c r="M26" s="64">
        <v>126.06018580358601</v>
      </c>
      <c r="N26" s="63">
        <v>7.89</v>
      </c>
      <c r="O26" s="64">
        <v>72.522854613433395</v>
      </c>
      <c r="P26" s="64">
        <v>70.436423006580441</v>
      </c>
      <c r="Q26" s="64">
        <v>15.839008315044273</v>
      </c>
      <c r="R26" s="64">
        <v>85.319140022648753</v>
      </c>
      <c r="S26" s="64">
        <v>8.9841157409644676</v>
      </c>
      <c r="T26" s="64">
        <v>0.28002077951077492</v>
      </c>
      <c r="U26" s="64">
        <v>8.3302268833613553</v>
      </c>
    </row>
    <row r="27" spans="1:21" x14ac:dyDescent="0.3">
      <c r="A27" s="4">
        <v>42710</v>
      </c>
      <c r="B27" s="63">
        <v>57.669998</v>
      </c>
      <c r="C27" s="63">
        <v>107.260002</v>
      </c>
      <c r="D27" s="63">
        <v>57.59</v>
      </c>
      <c r="E27" s="63">
        <v>35.211326999999997</v>
      </c>
      <c r="F27" s="63">
        <v>73.940002000000007</v>
      </c>
      <c r="G27" s="63">
        <v>16.549999</v>
      </c>
      <c r="H27" s="63">
        <v>52.167254999999997</v>
      </c>
      <c r="I27" s="63">
        <v>7.33</v>
      </c>
      <c r="J27" s="63">
        <v>70.352915999999993</v>
      </c>
      <c r="K27" s="63">
        <v>51.650002999999998</v>
      </c>
      <c r="L27" s="64">
        <v>153.44942105694969</v>
      </c>
      <c r="M27" s="64">
        <v>122.93552586098964</v>
      </c>
      <c r="N27" s="63">
        <v>7.8</v>
      </c>
      <c r="O27" s="64">
        <v>72.402146465517376</v>
      </c>
      <c r="P27" s="64">
        <v>70.307564347365982</v>
      </c>
      <c r="Q27" s="64">
        <v>15.774310949957723</v>
      </c>
      <c r="R27" s="64">
        <v>84.690944120083742</v>
      </c>
      <c r="S27" s="64">
        <v>8.9660123331959376</v>
      </c>
      <c r="T27" s="64">
        <v>0.28322051185290747</v>
      </c>
      <c r="U27" s="64">
        <v>8.6062920386640016</v>
      </c>
    </row>
    <row r="28" spans="1:21" x14ac:dyDescent="0.3">
      <c r="A28" s="4">
        <v>42711</v>
      </c>
      <c r="B28" s="63">
        <v>57.610000999999997</v>
      </c>
      <c r="C28" s="63">
        <v>109.699997</v>
      </c>
      <c r="D28" s="63">
        <v>57.669998</v>
      </c>
      <c r="E28" s="63">
        <v>35.300319999999999</v>
      </c>
      <c r="F28" s="63">
        <v>72.019997000000004</v>
      </c>
      <c r="G28" s="63">
        <v>17.010000000000002</v>
      </c>
      <c r="H28" s="63">
        <v>53.584142999999997</v>
      </c>
      <c r="I28" s="63">
        <v>7.34</v>
      </c>
      <c r="J28" s="63">
        <v>77.290019999999998</v>
      </c>
      <c r="K28" s="63">
        <v>53.665232000000003</v>
      </c>
      <c r="L28" s="64">
        <v>155.54673774658247</v>
      </c>
      <c r="M28" s="64">
        <v>119.94111000241709</v>
      </c>
      <c r="N28" s="63">
        <v>7.58</v>
      </c>
      <c r="O28" s="64">
        <v>72.580662424060932</v>
      </c>
      <c r="P28" s="64">
        <v>70.320316414210211</v>
      </c>
      <c r="Q28" s="64">
        <v>15.908927692959633</v>
      </c>
      <c r="R28" s="64">
        <v>84.493159892640151</v>
      </c>
      <c r="S28" s="64">
        <v>8.9216123468487254</v>
      </c>
      <c r="T28" s="64">
        <v>0.28529806127736479</v>
      </c>
      <c r="U28" s="64">
        <v>8.7556527441344265</v>
      </c>
    </row>
    <row r="29" spans="1:21" x14ac:dyDescent="0.3">
      <c r="A29" s="4">
        <v>42712</v>
      </c>
      <c r="B29" s="63">
        <v>57.66</v>
      </c>
      <c r="C29" s="63">
        <v>109.489998</v>
      </c>
      <c r="D29" s="63">
        <v>57.610000999999997</v>
      </c>
      <c r="E29" s="63">
        <v>36.041922999999997</v>
      </c>
      <c r="F29" s="63">
        <v>73.849997999999999</v>
      </c>
      <c r="G29" s="63">
        <v>17</v>
      </c>
      <c r="H29" s="63">
        <v>53.712949000000002</v>
      </c>
      <c r="I29" s="63">
        <v>7.21</v>
      </c>
      <c r="J29" s="63">
        <v>76.650002000000001</v>
      </c>
      <c r="K29" s="63">
        <v>53.384262</v>
      </c>
      <c r="L29" s="64">
        <v>154.10894658644449</v>
      </c>
      <c r="M29" s="64">
        <v>126.3004944942181</v>
      </c>
      <c r="N29" s="63">
        <v>7.39</v>
      </c>
      <c r="O29" s="64">
        <v>72.477513297588786</v>
      </c>
      <c r="P29" s="64">
        <v>70.215255365364939</v>
      </c>
      <c r="Q29" s="64">
        <v>15.239990290542567</v>
      </c>
      <c r="R29" s="64">
        <v>83.865313265150078</v>
      </c>
      <c r="S29" s="64">
        <v>8.8745219924542109</v>
      </c>
      <c r="T29" s="64">
        <v>0.29066986185473853</v>
      </c>
      <c r="U29" s="64">
        <v>7.8332439685505797</v>
      </c>
    </row>
    <row r="30" spans="1:21" x14ac:dyDescent="0.3">
      <c r="A30" s="4">
        <v>42713</v>
      </c>
      <c r="B30" s="63">
        <v>57.43</v>
      </c>
      <c r="C30" s="63">
        <v>107.800003</v>
      </c>
      <c r="D30" s="63">
        <v>57.66</v>
      </c>
      <c r="E30" s="63">
        <v>35.290430000000001</v>
      </c>
      <c r="F30" s="63">
        <v>75.099997999999999</v>
      </c>
      <c r="G30" s="63">
        <v>17.969999000000001</v>
      </c>
      <c r="H30" s="63">
        <v>53.683225</v>
      </c>
      <c r="I30" s="63">
        <v>7.58</v>
      </c>
      <c r="J30" s="63">
        <v>77.92</v>
      </c>
      <c r="K30" s="63">
        <v>53.500528000000003</v>
      </c>
      <c r="L30" s="64">
        <v>153.72951436680842</v>
      </c>
      <c r="M30" s="64">
        <v>121.01372145293924</v>
      </c>
      <c r="N30" s="63">
        <v>7.26</v>
      </c>
      <c r="O30" s="64">
        <v>71.144420451033866</v>
      </c>
      <c r="P30" s="64">
        <v>70.048495513295052</v>
      </c>
      <c r="Q30" s="64">
        <v>14.922533360544518</v>
      </c>
      <c r="R30" s="64">
        <v>83.275034203480473</v>
      </c>
      <c r="S30" s="64">
        <v>8.8522865308504812</v>
      </c>
      <c r="T30" s="64">
        <v>0.29040387208028218</v>
      </c>
      <c r="U30" s="64">
        <v>4.6702265458075374</v>
      </c>
    </row>
    <row r="31" spans="1:21" x14ac:dyDescent="0.3">
      <c r="A31" s="4">
        <v>42714</v>
      </c>
      <c r="B31" s="63">
        <v>56.209999000000003</v>
      </c>
      <c r="C31" s="63">
        <v>108.540001</v>
      </c>
      <c r="D31" s="63">
        <v>57.43</v>
      </c>
      <c r="E31" s="63">
        <v>34.954236000000002</v>
      </c>
      <c r="F31" s="63">
        <v>75.019997000000004</v>
      </c>
      <c r="G31" s="63">
        <v>18.760000000000002</v>
      </c>
      <c r="H31" s="63">
        <v>53.782305999999998</v>
      </c>
      <c r="I31" s="63">
        <v>8.01</v>
      </c>
      <c r="J31" s="63">
        <v>78.675000199999999</v>
      </c>
      <c r="K31" s="63">
        <v>53.558656999999997</v>
      </c>
      <c r="L31" s="64">
        <v>153.91334781106644</v>
      </c>
      <c r="M31" s="64">
        <v>117.27068969630244</v>
      </c>
      <c r="N31" s="63">
        <v>7.3</v>
      </c>
      <c r="O31" s="64">
        <v>72.781631265961607</v>
      </c>
      <c r="P31" s="64">
        <v>69.944217755219825</v>
      </c>
      <c r="Q31" s="64">
        <v>14.589721369390679</v>
      </c>
      <c r="R31" s="64">
        <v>82.823047576334403</v>
      </c>
      <c r="S31" s="64">
        <v>8.8297994299157043</v>
      </c>
      <c r="T31" s="64">
        <v>0.30356126399961614</v>
      </c>
      <c r="U31" s="64">
        <v>6.1486201233255988</v>
      </c>
    </row>
    <row r="32" spans="1:21" x14ac:dyDescent="0.3">
      <c r="A32" s="4">
        <v>42715</v>
      </c>
      <c r="B32" s="63">
        <v>57.68</v>
      </c>
      <c r="C32" s="63">
        <v>108.449997</v>
      </c>
      <c r="D32" s="63">
        <v>56.209999000000003</v>
      </c>
      <c r="E32" s="63">
        <v>35.913378000000002</v>
      </c>
      <c r="F32" s="63">
        <v>74.970000999999996</v>
      </c>
      <c r="G32" s="63">
        <v>19.02</v>
      </c>
      <c r="H32" s="63">
        <v>54.247998000000003</v>
      </c>
      <c r="I32" s="63">
        <v>7.98</v>
      </c>
      <c r="J32" s="63">
        <v>78.650002000000001</v>
      </c>
      <c r="K32" s="63">
        <v>53.868692000000003</v>
      </c>
      <c r="L32" s="64">
        <v>152.953619033569</v>
      </c>
      <c r="M32" s="64">
        <v>122.96057613892118</v>
      </c>
      <c r="N32" s="63">
        <v>7.6</v>
      </c>
      <c r="O32" s="64">
        <v>72.697468189820356</v>
      </c>
      <c r="P32" s="64">
        <v>69.932595050075065</v>
      </c>
      <c r="Q32" s="64">
        <v>15.657591105261101</v>
      </c>
      <c r="R32" s="64">
        <v>84.440026784414457</v>
      </c>
      <c r="S32" s="64">
        <v>8.8122352104216723</v>
      </c>
      <c r="T32" s="64">
        <v>0.31420774503901139</v>
      </c>
      <c r="U32" s="64">
        <v>8.2652578549674551</v>
      </c>
    </row>
    <row r="33" spans="1:22" x14ac:dyDescent="0.3">
      <c r="J33" s="12"/>
    </row>
    <row r="34" spans="1:22" x14ac:dyDescent="0.3">
      <c r="J34" s="12"/>
    </row>
    <row r="35" spans="1:22" x14ac:dyDescent="0.3">
      <c r="B35" s="66"/>
      <c r="J35" s="12"/>
    </row>
    <row r="36" spans="1:22" x14ac:dyDescent="0.3">
      <c r="A36" s="15"/>
      <c r="J36" s="12"/>
    </row>
    <row r="37" spans="1:22" x14ac:dyDescent="0.3">
      <c r="A37" s="15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3">
      <c r="A38" s="67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3">
      <c r="A39" s="67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3">
      <c r="A40" s="67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3">
      <c r="A41" s="67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3">
      <c r="A42" s="67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3">
      <c r="A43" s="67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3">
      <c r="A44" s="67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3">
      <c r="A45" s="67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3">
      <c r="A46" s="67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3">
      <c r="A47" s="67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3">
      <c r="A48" s="67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22" x14ac:dyDescent="0.3">
      <c r="A49" s="67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22" x14ac:dyDescent="0.3">
      <c r="A50" s="67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22" x14ac:dyDescent="0.3">
      <c r="A51" s="67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22" x14ac:dyDescent="0.3">
      <c r="A52" s="67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22" x14ac:dyDescent="0.3">
      <c r="A53" s="67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22" x14ac:dyDescent="0.3">
      <c r="A54" s="67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</row>
    <row r="55" spans="1:22" x14ac:dyDescent="0.3">
      <c r="A55" s="67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</row>
    <row r="56" spans="1:22" x14ac:dyDescent="0.3">
      <c r="A56" s="67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</row>
    <row r="57" spans="1:22" x14ac:dyDescent="0.3">
      <c r="A57" s="67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</row>
    <row r="58" spans="1:22" x14ac:dyDescent="0.3">
      <c r="A58" s="67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</row>
    <row r="59" spans="1:22" x14ac:dyDescent="0.3">
      <c r="A59" s="67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</row>
    <row r="60" spans="1:22" x14ac:dyDescent="0.3">
      <c r="A60" s="67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</row>
    <row r="61" spans="1:22" x14ac:dyDescent="0.3">
      <c r="A61" s="67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1:22" x14ac:dyDescent="0.3">
      <c r="A62" s="67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1:22" x14ac:dyDescent="0.3">
      <c r="A63" s="67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1:22" x14ac:dyDescent="0.3">
      <c r="A64" s="67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</row>
  </sheetData>
  <sortState ref="A6:V32">
    <sortCondition descending="1" ref="G7"/>
  </sortState>
  <mergeCells count="5">
    <mergeCell ref="B4:F4"/>
    <mergeCell ref="G4:K4"/>
    <mergeCell ref="L4:P4"/>
    <mergeCell ref="Q4:U4"/>
    <mergeCell ref="A2:D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A3" sqref="A3"/>
    </sheetView>
  </sheetViews>
  <sheetFormatPr defaultRowHeight="14.4" x14ac:dyDescent="0.3"/>
  <cols>
    <col min="1" max="16384" width="8.88671875" style="77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220980</xdr:colOff>
                <xdr:row>1</xdr:row>
                <xdr:rowOff>0</xdr:rowOff>
              </from>
              <to>
                <xdr:col>3</xdr:col>
                <xdr:colOff>213360</xdr:colOff>
                <xdr:row>3</xdr:row>
                <xdr:rowOff>38100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StockData</vt:lpstr>
      <vt:lpstr>Analysis</vt:lpstr>
      <vt:lpstr>StockResults</vt:lpstr>
      <vt:lpstr>StockDetails</vt:lpstr>
      <vt:lpstr>Predicted Price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Srivarsini</dc:creator>
  <cp:lastModifiedBy>Srivarsini</cp:lastModifiedBy>
  <dcterms:created xsi:type="dcterms:W3CDTF">2016-10-19T01:29:33Z</dcterms:created>
  <dcterms:modified xsi:type="dcterms:W3CDTF">2016-12-03T00:22:24Z</dcterms:modified>
</cp:coreProperties>
</file>